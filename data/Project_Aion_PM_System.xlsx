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480" yWindow="-23320" windowWidth="26160" windowHeight="17120" tabRatio="600" firstSheet="0" activeTab="0" autoFilterDateGrouping="1"/>
  </bookViews>
  <sheets>
    <sheet name="01_Project_Charter" sheetId="1" state="visible" r:id="rId1"/>
    <sheet name="02_Roadmap" sheetId="2" state="visible" r:id="rId2"/>
    <sheet name="03_Gantt" sheetId="3" state="visible" r:id="rId3"/>
    <sheet name="04_Tickets" sheetId="4" state="visible" r:id="rId4"/>
    <sheet name="05_Dashboard" sheetId="5" state="visible" r:id="rId5"/>
    <sheet name="06_Decisions_Log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mmm\ 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i val="1"/>
      <color rgb="FF40404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5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32"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tabSelected="1" workbookViewId="0">
      <selection activeCell="B4" sqref="B4:H4"/>
    </sheetView>
  </sheetViews>
  <sheetFormatPr baseColWidth="10" defaultColWidth="8.83203125" defaultRowHeight="15"/>
  <cols>
    <col width="34" customWidth="1" style="12" min="1" max="1"/>
    <col width="22" customWidth="1" style="12" min="2" max="8"/>
  </cols>
  <sheetData>
    <row r="1" ht="21" customHeight="1" s="12">
      <c r="A1" s="11" t="inlineStr">
        <is>
          <t>Project Aion — Project Charter &amp; Intake</t>
        </is>
      </c>
    </row>
    <row r="2">
      <c r="A2" s="16" t="inlineStr">
        <is>
          <t>Fill these in once; we’ll keep them updated as the single source of truth.</t>
        </is>
      </c>
    </row>
    <row r="3">
      <c r="A3" s="15" t="inlineStr">
        <is>
          <t>Field</t>
        </is>
      </c>
      <c r="B3" s="15" t="inlineStr">
        <is>
          <t>Notes</t>
        </is>
      </c>
      <c r="C3" s="18" t="n"/>
      <c r="D3" s="18" t="n"/>
      <c r="E3" s="18" t="n"/>
      <c r="F3" s="18" t="n"/>
      <c r="G3" s="18" t="n"/>
      <c r="H3" s="19" t="n"/>
    </row>
    <row r="4" ht="360" customHeight="1" s="12">
      <c r="A4" s="2" t="inlineStr">
        <is>
          <t>Project vision (1–2 sentences)</t>
        </is>
      </c>
      <c r="B4" s="13" t="inlineStr">
        <is>
          <t>Aion Global (Equine &amp; Sport) will be a 50/50 collaboration between me (Shane Clarke) and my business partner Ned Sangster to compile our collective knowledge and resources to create a next generation global thoroughbred racing trading &amp; performance measurement ecosystem. 1) Strategic Intent
Purpose: Develop Project Aion into a repeatable, auditable trading capability that can be (a) commercialised as a standalone business or (b) integrated into a partner fund structure with external bankroll.
2) Two Commercialisation Pathways
Path A — New Business:
Own capital (initially) + build track record + scale capital later
Outputs: productised stack, operations, risk controls, reporting
Path B — Fund Collaboration / Bankroll Partner:
Partner supplies capital; you supply edge + system + execution
Outputs: institutional-grade reporting, risk policy, model governance, controls, and a due diligence pack
3) A “Decision Gate” (make it explicit)
Add a milestone like:
Decision Gate (end of Q3 2026): Choose Path A or Path B based on:
live/sim performance vs targets
operational readiness (controls + reliability)
partner appetite / pipeline
legal + compliance feasibility</t>
        </is>
      </c>
      <c r="C4" s="18" t="n"/>
      <c r="D4" s="18" t="n"/>
      <c r="E4" s="18" t="n"/>
      <c r="F4" s="18" t="n"/>
      <c r="G4" s="18" t="n"/>
      <c r="H4" s="19" t="n"/>
    </row>
    <row r="5" ht="45" customHeight="1" s="12">
      <c r="A5" s="2" t="inlineStr">
        <is>
          <t>Primary objectives (top 5)</t>
        </is>
      </c>
      <c r="B5" s="13" t="inlineStr">
        <is>
          <t>Consolidatie Database Platform, Advanced Proprietary Data Operation, Develop initial phase routine daily Hidden Merit manual trading list for France &amp; Hong Kong, Develop Modelling &amp; Automated Trading platforms (with Chatgpt assitance)</t>
        </is>
      </c>
      <c r="C5" s="18" t="n"/>
      <c r="D5" s="18" t="n"/>
      <c r="E5" s="18" t="n"/>
      <c r="F5" s="18" t="n"/>
      <c r="G5" s="18" t="n"/>
      <c r="H5" s="19" t="n"/>
    </row>
    <row r="6" ht="45" customHeight="1" s="12">
      <c r="A6" s="2" t="inlineStr">
        <is>
          <t>Non‑negotiable principles</t>
        </is>
      </c>
      <c r="B6" s="13" t="inlineStr">
        <is>
          <t>Data Integrity, Precision, Flexibility, Adaptation</t>
        </is>
      </c>
      <c r="C6" s="18" t="n"/>
      <c r="D6" s="18" t="n"/>
      <c r="E6" s="18" t="n"/>
      <c r="F6" s="18" t="n"/>
      <c r="G6" s="18" t="n"/>
      <c r="H6" s="19" t="n"/>
    </row>
    <row r="7" ht="45" customHeight="1" s="12">
      <c r="A7" s="2" t="inlineStr">
        <is>
          <t>Scope: in / out</t>
        </is>
      </c>
      <c r="B7" s="13" t="n"/>
      <c r="C7" s="14" t="n"/>
      <c r="D7" s="14" t="n"/>
      <c r="E7" s="14" t="n"/>
      <c r="F7" s="14" t="n"/>
      <c r="G7" s="14" t="n"/>
      <c r="H7" s="14" t="n"/>
    </row>
    <row r="8" ht="45" customHeight="1" s="12">
      <c r="A8" s="2" t="inlineStr">
        <is>
          <t>Target markets &amp; instruments</t>
        </is>
      </c>
      <c r="B8" s="13" t="inlineStr">
        <is>
          <t>France, Hong Kong, Japan, Australia, GCC</t>
        </is>
      </c>
      <c r="C8" s="18" t="n"/>
      <c r="D8" s="18" t="n"/>
      <c r="E8" s="18" t="n"/>
      <c r="F8" s="18" t="n"/>
      <c r="G8" s="18" t="n"/>
      <c r="H8" s="19" t="n"/>
    </row>
    <row r="9" ht="45" customHeight="1" s="12">
      <c r="A9" s="2" t="inlineStr">
        <is>
          <t>Time horizons (early/mid/late, pre‑race/in‑play, etc.)</t>
        </is>
      </c>
      <c r="B9" s="13" t="n"/>
      <c r="C9" s="18" t="n"/>
      <c r="D9" s="18" t="n"/>
      <c r="E9" s="18" t="n"/>
      <c r="F9" s="18" t="n"/>
      <c r="G9" s="18" t="n"/>
      <c r="H9" s="19" t="n"/>
    </row>
    <row r="10" ht="45" customHeight="1" s="12">
      <c r="A10" s="2" t="inlineStr">
        <is>
          <t>Key resources (data, infra, tools, people)</t>
        </is>
      </c>
      <c r="B10" s="13" t="inlineStr">
        <is>
          <t>Sri Lanka Video Analysts BPO - Proprietary Data Compilation, Aion Global Database System, Advanced ML Feature Library, XGBoost Modelling Platform, Automated Full Market Spectrum (Tote, Fixed Odds, Betfair Exchange, Asian Exchange , Fixed Odds)</t>
        </is>
      </c>
      <c r="C10" s="18" t="n"/>
      <c r="D10" s="18" t="n"/>
      <c r="E10" s="18" t="n"/>
      <c r="F10" s="18" t="n"/>
      <c r="G10" s="18" t="n"/>
      <c r="H10" s="19" t="n"/>
    </row>
    <row r="11" ht="45" customHeight="1" s="12">
      <c r="A11" s="2" t="inlineStr">
        <is>
          <t>Industry network / partnerships (optional)</t>
        </is>
      </c>
      <c r="B11" s="13" t="n"/>
      <c r="C11" s="18" t="n"/>
      <c r="D11" s="18" t="n"/>
      <c r="E11" s="18" t="n"/>
      <c r="F11" s="18" t="n"/>
      <c r="G11" s="18" t="n"/>
      <c r="H11" s="19" t="n"/>
    </row>
    <row r="12" ht="45" customHeight="1" s="12">
      <c r="A12" s="2" t="inlineStr">
        <is>
          <t>Constraints (legal/compliance, latency, costs, etc.)</t>
        </is>
      </c>
      <c r="B12" s="13" t="inlineStr">
        <is>
          <t xml:space="preserve">Phased development with development budget driven by trading revenue </t>
        </is>
      </c>
      <c r="C12" s="18" t="n"/>
      <c r="D12" s="18" t="n"/>
      <c r="E12" s="18" t="n"/>
      <c r="F12" s="18" t="n"/>
      <c r="G12" s="18" t="n"/>
      <c r="H12" s="19" t="n"/>
    </row>
    <row r="13" ht="45" customHeight="1" s="12">
      <c r="A13" s="2" t="inlineStr">
        <is>
          <t>Success metrics (KPIs)</t>
        </is>
      </c>
      <c r="B13" s="13" t="n"/>
      <c r="C13" s="14" t="n"/>
      <c r="D13" s="14" t="n"/>
      <c r="E13" s="14" t="n"/>
      <c r="F13" s="14" t="n"/>
      <c r="G13" s="14" t="n"/>
      <c r="H13" s="14" t="n"/>
    </row>
    <row r="14" ht="45" customHeight="1" s="12">
      <c r="A14" s="2" t="inlineStr">
        <is>
          <t>Major risks &amp; mitigations</t>
        </is>
      </c>
      <c r="B14" s="13" t="n"/>
      <c r="C14" s="18" t="n"/>
      <c r="D14" s="18" t="n"/>
      <c r="E14" s="18" t="n"/>
      <c r="F14" s="18" t="n"/>
      <c r="G14" s="18" t="n"/>
      <c r="H14" s="19" t="n"/>
    </row>
    <row r="15" ht="45" customHeight="1" s="12">
      <c r="A15" s="2" t="inlineStr">
        <is>
          <t>Open questions / decisions needed</t>
        </is>
      </c>
      <c r="B15" s="13" t="n"/>
      <c r="C15" s="18" t="n"/>
      <c r="D15" s="18" t="n"/>
      <c r="E15" s="18" t="n"/>
      <c r="F15" s="18" t="n"/>
      <c r="G15" s="18" t="n"/>
      <c r="H15" s="19" t="n"/>
    </row>
  </sheetData>
  <mergeCells count="13">
    <mergeCell ref="B8:H8"/>
    <mergeCell ref="B14:H14"/>
    <mergeCell ref="B9:H9"/>
    <mergeCell ref="B4:H4"/>
    <mergeCell ref="A2:H2"/>
    <mergeCell ref="B12:H12"/>
    <mergeCell ref="B6:H6"/>
    <mergeCell ref="B15:H15"/>
    <mergeCell ref="B10:H10"/>
    <mergeCell ref="A1:H1"/>
    <mergeCell ref="B11:H1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E23" sqref="E23"/>
    </sheetView>
  </sheetViews>
  <sheetFormatPr baseColWidth="10" defaultColWidth="8.83203125" defaultRowHeight="15"/>
  <cols>
    <col width="10" customWidth="1" style="12" min="1" max="1"/>
    <col width="26" customWidth="1" style="12" min="2" max="2"/>
    <col width="36" customWidth="1" style="12" min="3" max="3"/>
    <col width="14" customWidth="1" style="12" min="4" max="4"/>
    <col width="12" customWidth="1" style="12" min="5" max="6"/>
    <col width="14" customWidth="1" style="12" min="7" max="7"/>
    <col width="16" customWidth="1" style="12" min="8" max="8"/>
    <col width="12" customWidth="1" style="12" min="9" max="9"/>
    <col width="24" customWidth="1" style="12" min="10" max="10"/>
  </cols>
  <sheetData>
    <row r="1" ht="21" customHeight="1" s="12">
      <c r="A1" s="17" t="inlineStr">
        <is>
          <t>High‑Level Roadmap (Epics)</t>
        </is>
      </c>
    </row>
    <row r="2">
      <c r="A2" s="16" t="inlineStr">
        <is>
          <t>Baseline created: 2026-01-23  |  Adjust dates/owners freely.</t>
        </is>
      </c>
    </row>
    <row r="4">
      <c r="A4" s="15" t="inlineStr">
        <is>
          <t>Epic ID</t>
        </is>
      </c>
      <c r="B4" s="15" t="inlineStr">
        <is>
          <t>Epic</t>
        </is>
      </c>
      <c r="C4" s="15" t="inlineStr">
        <is>
          <t>Goal</t>
        </is>
      </c>
      <c r="D4" s="15" t="inlineStr">
        <is>
          <t>Owner</t>
        </is>
      </c>
      <c r="E4" s="15" t="inlineStr">
        <is>
          <t>Start</t>
        </is>
      </c>
      <c r="F4" s="15" t="inlineStr">
        <is>
          <t>End</t>
        </is>
      </c>
      <c r="G4" s="15" t="inlineStr">
        <is>
          <t>Duration (days)</t>
        </is>
      </c>
      <c r="H4" s="15" t="inlineStr">
        <is>
          <t>Status</t>
        </is>
      </c>
      <c r="I4" s="15" t="inlineStr">
        <is>
          <t>Dependency</t>
        </is>
      </c>
      <c r="J4" s="15" t="inlineStr">
        <is>
          <t>Notes</t>
        </is>
      </c>
    </row>
    <row r="5" ht="42" customHeight="1" s="12">
      <c r="A5" s="5" t="inlineStr">
        <is>
          <t>E01</t>
        </is>
      </c>
      <c r="B5" s="5" t="inlineStr">
        <is>
          <t>Foundation &amp; governance</t>
        </is>
      </c>
      <c r="C5" s="5" t="inlineStr">
        <is>
          <t>Charter, structure, decision log, workflows</t>
        </is>
      </c>
      <c r="D5" s="5" t="inlineStr">
        <is>
          <t>You</t>
        </is>
      </c>
      <c r="E5" s="10" t="inlineStr">
        <is>
          <t>Q1_2026</t>
        </is>
      </c>
      <c r="F5" s="10" t="inlineStr">
        <is>
          <t>Q1_2026</t>
        </is>
      </c>
      <c r="G5" s="5" t="n">
        <v>15</v>
      </c>
      <c r="H5" s="5" t="inlineStr">
        <is>
          <t>Not started</t>
        </is>
      </c>
      <c r="I5" s="5" t="n"/>
      <c r="J5" s="5" t="inlineStr">
        <is>
          <t>Sets up operating rhythm</t>
        </is>
      </c>
    </row>
    <row r="6" ht="42" customHeight="1" s="12">
      <c r="A6" s="5" t="inlineStr">
        <is>
          <t>E02</t>
        </is>
      </c>
      <c r="B6" s="5" t="inlineStr">
        <is>
          <t>Databases core</t>
        </is>
      </c>
      <c r="C6" s="5" t="inlineStr">
        <is>
          <t>Fundamental/Technical/Transactional domains + schemas</t>
        </is>
      </c>
      <c r="D6" s="5" t="inlineStr">
        <is>
          <t>TBD</t>
        </is>
      </c>
      <c r="E6" s="10" t="inlineStr">
        <is>
          <t>Q1_2026</t>
        </is>
      </c>
      <c r="F6" s="10" t="inlineStr">
        <is>
          <t>Q2_2026</t>
        </is>
      </c>
      <c r="G6" s="5" t="n">
        <v>60</v>
      </c>
      <c r="H6" s="5" t="inlineStr">
        <is>
          <t>Not started</t>
        </is>
      </c>
      <c r="I6" s="5" t="inlineStr">
        <is>
          <t>E01</t>
        </is>
      </c>
      <c r="J6" s="5" t="n"/>
    </row>
    <row r="7" ht="42" customHeight="1" s="12">
      <c r="A7" s="5" t="inlineStr">
        <is>
          <t>E03</t>
        </is>
      </c>
      <c r="B7" s="5" t="inlineStr">
        <is>
          <t>Feature system</t>
        </is>
      </c>
      <c r="C7" s="5" t="inlineStr">
        <is>
          <t>Feature principles, profile, performance, ratings suite</t>
        </is>
      </c>
      <c r="D7" s="5" t="inlineStr">
        <is>
          <t>TBD</t>
        </is>
      </c>
      <c r="E7" s="10" t="inlineStr">
        <is>
          <t>Q1_2026</t>
        </is>
      </c>
      <c r="F7" s="10" t="inlineStr">
        <is>
          <t>Q2_2026</t>
        </is>
      </c>
      <c r="G7" s="5" t="n">
        <v>90</v>
      </c>
      <c r="H7" s="5" t="inlineStr">
        <is>
          <t>Not started</t>
        </is>
      </c>
      <c r="I7" s="5" t="inlineStr">
        <is>
          <t>E02</t>
        </is>
      </c>
      <c r="J7" s="5" t="inlineStr">
        <is>
          <t>POWRTG/SPDRTG/MRKRTG/TRKSPD/Time Standards</t>
        </is>
      </c>
    </row>
    <row r="8" ht="42" customHeight="1" s="12">
      <c r="A8" s="5" t="inlineStr">
        <is>
          <t>E04</t>
        </is>
      </c>
      <c r="B8" s="5" t="inlineStr">
        <is>
          <t>ML &amp; MLOps</t>
        </is>
      </c>
      <c r="C8" s="5" t="inlineStr">
        <is>
          <t>XGBoost module + MLflow + monitoring + gates</t>
        </is>
      </c>
      <c r="D8" s="5" t="inlineStr">
        <is>
          <t>TBD</t>
        </is>
      </c>
      <c r="E8" s="10" t="inlineStr">
        <is>
          <t>Q1_2026</t>
        </is>
      </c>
      <c r="F8" s="10" t="inlineStr">
        <is>
          <t>Q2_2026</t>
        </is>
      </c>
      <c r="G8" s="5" t="n">
        <v>90</v>
      </c>
      <c r="H8" s="5" t="inlineStr">
        <is>
          <t>Not started</t>
        </is>
      </c>
      <c r="I8" s="5" t="inlineStr">
        <is>
          <t>E03</t>
        </is>
      </c>
      <c r="J8" s="5" t="n"/>
    </row>
    <row r="9" ht="42" customHeight="1" s="12">
      <c r="A9" s="5" t="inlineStr">
        <is>
          <t>E05</t>
        </is>
      </c>
      <c r="B9" s="5" t="inlineStr">
        <is>
          <t>Trading engines</t>
        </is>
      </c>
      <c r="C9" s="5" t="inlineStr">
        <is>
          <t>OMS/execution/risk guardrails/sim</t>
        </is>
      </c>
      <c r="D9" s="5" t="inlineStr">
        <is>
          <t>TBD</t>
        </is>
      </c>
      <c r="E9" s="10" t="inlineStr">
        <is>
          <t>Q2_2026</t>
        </is>
      </c>
      <c r="F9" s="10" t="inlineStr">
        <is>
          <t>Q3_2026</t>
        </is>
      </c>
      <c r="G9" s="5" t="n">
        <v>90</v>
      </c>
      <c r="H9" s="5" t="inlineStr">
        <is>
          <t>Not started</t>
        </is>
      </c>
      <c r="I9" s="5" t="inlineStr">
        <is>
          <t>E02</t>
        </is>
      </c>
      <c r="J9" s="5" t="n"/>
    </row>
    <row r="10" ht="42" customHeight="1" s="12">
      <c r="A10" s="5" t="inlineStr">
        <is>
          <t>E06</t>
        </is>
      </c>
      <c r="B10" s="5" t="inlineStr">
        <is>
          <t>Pulse &amp; triggers</t>
        </is>
      </c>
      <c r="C10" s="5" t="inlineStr">
        <is>
          <t>Race status, bet triggers, GUI pulse input</t>
        </is>
      </c>
      <c r="D10" s="5" t="inlineStr">
        <is>
          <t>TBD</t>
        </is>
      </c>
      <c r="E10" s="10" t="inlineStr">
        <is>
          <t>Q2_2026</t>
        </is>
      </c>
      <c r="F10" s="10" t="inlineStr">
        <is>
          <t>Q3_2026</t>
        </is>
      </c>
      <c r="G10" s="5" t="n">
        <v>90</v>
      </c>
      <c r="H10" s="5" t="inlineStr">
        <is>
          <t>Not started</t>
        </is>
      </c>
      <c r="I10" s="5" t="inlineStr">
        <is>
          <t>E02</t>
        </is>
      </c>
      <c r="J10" s="5" t="n"/>
    </row>
    <row r="11" ht="42" customHeight="1" s="12">
      <c r="A11" s="5" t="inlineStr">
        <is>
          <t>E07</t>
        </is>
      </c>
      <c r="B11" s="5" t="inlineStr">
        <is>
          <t>Strategy library</t>
        </is>
      </c>
      <c r="C11" s="5" t="inlineStr">
        <is>
          <t>Early/Mid/Late, Tote, Exchange, Fixed Odds, Dividend, cA, Staking</t>
        </is>
      </c>
      <c r="D11" s="5" t="inlineStr">
        <is>
          <t>TBD</t>
        </is>
      </c>
      <c r="E11" s="10" t="inlineStr">
        <is>
          <t>Q2_2026</t>
        </is>
      </c>
      <c r="F11" s="10" t="inlineStr">
        <is>
          <t>Q3_2026</t>
        </is>
      </c>
      <c r="G11" s="5" t="n">
        <v>90</v>
      </c>
      <c r="H11" s="5" t="inlineStr">
        <is>
          <t>Not started</t>
        </is>
      </c>
      <c r="I11" s="5" t="inlineStr">
        <is>
          <t>E05</t>
        </is>
      </c>
      <c r="J11" s="5" t="n"/>
    </row>
    <row r="12" ht="42" customHeight="1" s="12">
      <c r="A12" s="5" t="inlineStr">
        <is>
          <t>E08</t>
        </is>
      </c>
      <c r="B12" s="5" t="inlineStr">
        <is>
          <t>GUI Glass Cockpit</t>
        </is>
      </c>
      <c r="C12" s="5" t="inlineStr">
        <is>
          <t>Dash UI, design system, panels, icon library</t>
        </is>
      </c>
      <c r="D12" s="5" t="inlineStr">
        <is>
          <t>TBD</t>
        </is>
      </c>
      <c r="E12" s="10" t="inlineStr">
        <is>
          <t>Q2_2026</t>
        </is>
      </c>
      <c r="F12" s="10" t="inlineStr">
        <is>
          <t>Q3_2026</t>
        </is>
      </c>
      <c r="G12" s="5" t="n">
        <v>90</v>
      </c>
      <c r="H12" s="5" t="inlineStr">
        <is>
          <t>Not started</t>
        </is>
      </c>
      <c r="I12" s="5" t="inlineStr">
        <is>
          <t>E01</t>
        </is>
      </c>
      <c r="J12" s="5" t="n"/>
    </row>
    <row r="13" ht="42" customHeight="1" s="12">
      <c r="A13" s="5" t="inlineStr">
        <is>
          <t>E09</t>
        </is>
      </c>
      <c r="B13" s="5" t="inlineStr">
        <is>
          <t>AWACS admin</t>
        </is>
      </c>
      <c r="C13" s="5" t="inlineStr">
        <is>
          <t>Monitoring, kill switches, permissions, drills</t>
        </is>
      </c>
      <c r="D13" s="5" t="inlineStr">
        <is>
          <t>TBD</t>
        </is>
      </c>
      <c r="E13" s="10" t="inlineStr">
        <is>
          <t>Q3_2026</t>
        </is>
      </c>
      <c r="F13" s="10" t="inlineStr">
        <is>
          <t>Q3_2026</t>
        </is>
      </c>
      <c r="G13" s="5" t="n">
        <v>90</v>
      </c>
      <c r="H13" s="5" t="inlineStr">
        <is>
          <t>Not started</t>
        </is>
      </c>
      <c r="I13" s="5" t="inlineStr">
        <is>
          <t>E05</t>
        </is>
      </c>
      <c r="J13" s="5" t="n"/>
    </row>
    <row r="14" ht="42" customHeight="1" s="12">
      <c r="A14" s="5" t="inlineStr">
        <is>
          <t>E10</t>
        </is>
      </c>
      <c r="B14" s="5" t="inlineStr">
        <is>
          <t>BI / Reporting / Recon</t>
        </is>
      </c>
      <c r="C14" s="5" t="inlineStr">
        <is>
          <t>KPI layer, reporting packs, reconciliation controls</t>
        </is>
      </c>
      <c r="D14" s="5" t="inlineStr">
        <is>
          <t>TBD</t>
        </is>
      </c>
      <c r="E14" s="10" t="inlineStr">
        <is>
          <t>Q3_2026</t>
        </is>
      </c>
      <c r="F14" s="10" t="inlineStr">
        <is>
          <t>Q4_2026</t>
        </is>
      </c>
      <c r="G14" s="5" t="n">
        <v>120</v>
      </c>
      <c r="H14" s="5" t="inlineStr">
        <is>
          <t>Not started</t>
        </is>
      </c>
      <c r="I14" s="5" t="inlineStr">
        <is>
          <t>E02</t>
        </is>
      </c>
      <c r="J14" s="5" t="n"/>
    </row>
    <row r="15" ht="42" customHeight="1" s="12">
      <c r="A15" s="5" t="inlineStr">
        <is>
          <t>E11</t>
        </is>
      </c>
      <c r="B15" s="5" t="inlineStr">
        <is>
          <t>Simulation &amp; backtesting</t>
        </is>
      </c>
      <c r="C15" s="5" t="inlineStr">
        <is>
          <t>Deterministic replay + exec sim + review packs</t>
        </is>
      </c>
      <c r="D15" s="5" t="inlineStr">
        <is>
          <t>TBD</t>
        </is>
      </c>
      <c r="E15" s="10" t="inlineStr">
        <is>
          <t>Q3_2026</t>
        </is>
      </c>
      <c r="F15" s="10" t="inlineStr">
        <is>
          <t>Q4_2026</t>
        </is>
      </c>
      <c r="G15" s="5" t="n">
        <v>120</v>
      </c>
      <c r="H15" s="5" t="inlineStr">
        <is>
          <t>Not started</t>
        </is>
      </c>
      <c r="I15" s="5" t="inlineStr">
        <is>
          <t>E03</t>
        </is>
      </c>
      <c r="J15" s="5" t="n"/>
    </row>
    <row r="16" ht="42" customHeight="1" s="12">
      <c r="A16" s="5" t="inlineStr">
        <is>
          <t>E12</t>
        </is>
      </c>
      <c r="B16" s="5" t="inlineStr">
        <is>
          <t>IT Infrastructure</t>
        </is>
      </c>
      <c r="C16" s="5" t="inlineStr">
        <is>
          <t>Envs, CI/CD, observability, security</t>
        </is>
      </c>
      <c r="D16" s="5" t="inlineStr">
        <is>
          <t>TBD</t>
        </is>
      </c>
      <c r="E16" s="10" t="inlineStr">
        <is>
          <t>Q1_2026</t>
        </is>
      </c>
      <c r="F16" s="10" t="inlineStr">
        <is>
          <t>Q4_2026</t>
        </is>
      </c>
      <c r="G16" s="5" t="n">
        <v>180</v>
      </c>
      <c r="H16" s="5" t="inlineStr">
        <is>
          <t>Not started</t>
        </is>
      </c>
      <c r="I16" s="5" t="inlineStr">
        <is>
          <t>E01</t>
        </is>
      </c>
      <c r="J16" s="5" t="inlineStr">
        <is>
          <t>Parallel stream</t>
        </is>
      </c>
    </row>
  </sheetData>
  <mergeCells count="2">
    <mergeCell ref="A1:J1"/>
    <mergeCell ref="A2:J2"/>
  </mergeCells>
  <conditionalFormatting sqref="E5:F16">
    <cfRule type="expression" priority="1" dxfId="26">
      <formula>$F5="Done"</formula>
    </cfRule>
    <cfRule type="expression" priority="2" dxfId="27">
      <formula>$F5="Blocked"</formula>
    </cfRule>
    <cfRule type="expression" priority="3" dxfId="28">
      <formula>$F5="In progress"</formula>
    </cfRule>
  </conditionalFormatting>
  <dataValidations count="1">
    <dataValidation sqref="H5:H17" showDropDown="0" showInputMessage="0" showErrorMessage="0" allowBlank="1" type="list">
      <formula1>"Not started,In progress,Blocked,Ready for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6"/>
  <sheetViews>
    <sheetView showGridLines="0" workbookViewId="0">
      <pane ySplit="4" topLeftCell="A5" activePane="bottomLeft" state="frozen"/>
      <selection pane="bottomLeft" activeCell="D5" sqref="D5:E16"/>
    </sheetView>
  </sheetViews>
  <sheetFormatPr baseColWidth="10" defaultColWidth="8.83203125" defaultRowHeight="15"/>
  <cols>
    <col width="10" customWidth="1" style="12" min="1" max="1"/>
    <col width="26" customWidth="1" style="12" min="2" max="2"/>
    <col width="14" customWidth="1" style="12" min="3" max="3"/>
    <col width="12" customWidth="1" style="12" min="4" max="5"/>
    <col width="14" customWidth="1" style="12" min="6" max="6"/>
    <col width="4.1640625" customWidth="1" style="12" min="7" max="32"/>
  </cols>
  <sheetData>
    <row r="1" ht="21" customHeight="1" s="12">
      <c r="A1" s="17" t="inlineStr">
        <is>
          <t>Gantt Chart (High‑Level Epics)</t>
        </is>
      </c>
    </row>
    <row r="2">
      <c r="A2" s="16" t="inlineStr">
        <is>
          <t>Edit dates/status in 02_Roadmap. This sheet visualises automatically.</t>
        </is>
      </c>
    </row>
    <row r="4">
      <c r="A4" s="15" t="inlineStr">
        <is>
          <t>Epic ID</t>
        </is>
      </c>
      <c r="B4" s="15" t="inlineStr">
        <is>
          <t>Epic</t>
        </is>
      </c>
      <c r="C4" s="15" t="inlineStr">
        <is>
          <t>Owner</t>
        </is>
      </c>
      <c r="D4" s="15" t="inlineStr">
        <is>
          <t>Start</t>
        </is>
      </c>
      <c r="E4" s="15" t="inlineStr">
        <is>
          <t>End</t>
        </is>
      </c>
      <c r="F4" s="15" t="inlineStr">
        <is>
          <t>Status</t>
        </is>
      </c>
      <c r="G4" s="7" t="n">
        <v>46045</v>
      </c>
      <c r="H4" s="7" t="n">
        <v>46052</v>
      </c>
      <c r="I4" s="7" t="n">
        <v>46059</v>
      </c>
      <c r="J4" s="7" t="n">
        <v>46066</v>
      </c>
      <c r="K4" s="7" t="n">
        <v>46073</v>
      </c>
      <c r="L4" s="7" t="n">
        <v>46080</v>
      </c>
      <c r="M4" s="7" t="n">
        <v>46087</v>
      </c>
      <c r="N4" s="7" t="n">
        <v>46094</v>
      </c>
      <c r="O4" s="7" t="n">
        <v>46101</v>
      </c>
      <c r="P4" s="7" t="n">
        <v>46108</v>
      </c>
      <c r="Q4" s="7" t="n">
        <v>46115</v>
      </c>
      <c r="R4" s="7" t="n">
        <v>46122</v>
      </c>
      <c r="S4" s="7" t="n">
        <v>46129</v>
      </c>
      <c r="T4" s="7" t="n">
        <v>46136</v>
      </c>
      <c r="U4" s="7" t="n">
        <v>46143</v>
      </c>
      <c r="V4" s="7" t="n">
        <v>46150</v>
      </c>
      <c r="W4" s="7" t="n">
        <v>46157</v>
      </c>
      <c r="X4" s="7" t="n">
        <v>46164</v>
      </c>
      <c r="Y4" s="7" t="n">
        <v>46171</v>
      </c>
      <c r="Z4" s="7" t="n">
        <v>46178</v>
      </c>
      <c r="AA4" s="7" t="n">
        <v>46185</v>
      </c>
      <c r="AB4" s="7" t="n">
        <v>46192</v>
      </c>
      <c r="AC4" s="7" t="n">
        <v>46199</v>
      </c>
      <c r="AD4" s="7" t="n">
        <v>46206</v>
      </c>
      <c r="AE4" s="7" t="n">
        <v>46213</v>
      </c>
      <c r="AF4" s="7" t="n">
        <v>46220</v>
      </c>
    </row>
    <row r="5" ht="16" customHeight="1" s="12">
      <c r="A5" s="5">
        <f>'02_Roadmap'!A5</f>
        <v/>
      </c>
      <c r="B5" s="5">
        <f>'02_Roadmap'!B5</f>
        <v/>
      </c>
      <c r="C5" s="5">
        <f>'02_Roadmap'!D5</f>
        <v/>
      </c>
      <c r="D5" s="10" t="inlineStr">
        <is>
          <t>Q1_2026</t>
        </is>
      </c>
      <c r="E5" s="10" t="inlineStr">
        <is>
          <t>Q1_2026</t>
        </is>
      </c>
      <c r="F5" s="5">
        <f>'02_Roadmap'!H5</f>
        <v/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16" customHeight="1" s="12">
      <c r="A6" s="5">
        <f>'02_Roadmap'!A6</f>
        <v/>
      </c>
      <c r="B6" s="5">
        <f>'02_Roadmap'!B6</f>
        <v/>
      </c>
      <c r="C6" s="5">
        <f>'02_Roadmap'!D6</f>
        <v/>
      </c>
      <c r="D6" s="10" t="inlineStr">
        <is>
          <t>Q1_2026</t>
        </is>
      </c>
      <c r="E6" s="10" t="inlineStr">
        <is>
          <t>Q2_2026</t>
        </is>
      </c>
      <c r="F6" s="5">
        <f>'02_Roadmap'!H6</f>
        <v/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16" customHeight="1" s="12">
      <c r="A7" s="5">
        <f>'02_Roadmap'!A7</f>
        <v/>
      </c>
      <c r="B7" s="5">
        <f>'02_Roadmap'!B7</f>
        <v/>
      </c>
      <c r="C7" s="5">
        <f>'02_Roadmap'!D7</f>
        <v/>
      </c>
      <c r="D7" s="10" t="inlineStr">
        <is>
          <t>Q1_2026</t>
        </is>
      </c>
      <c r="E7" s="10" t="inlineStr">
        <is>
          <t>Q2_2026</t>
        </is>
      </c>
      <c r="F7" s="5">
        <f>'02_Roadmap'!H7</f>
        <v/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16" customHeight="1" s="12">
      <c r="A8" s="5">
        <f>'02_Roadmap'!A8</f>
        <v/>
      </c>
      <c r="B8" s="5">
        <f>'02_Roadmap'!B8</f>
        <v/>
      </c>
      <c r="C8" s="5">
        <f>'02_Roadmap'!D8</f>
        <v/>
      </c>
      <c r="D8" s="10" t="inlineStr">
        <is>
          <t>Q1_2026</t>
        </is>
      </c>
      <c r="E8" s="10" t="inlineStr">
        <is>
          <t>Q2_2026</t>
        </is>
      </c>
      <c r="F8" s="5">
        <f>'02_Roadmap'!H8</f>
        <v/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</row>
    <row r="9" ht="16" customHeight="1" s="12">
      <c r="A9" s="5">
        <f>'02_Roadmap'!A9</f>
        <v/>
      </c>
      <c r="B9" s="5">
        <f>'02_Roadmap'!B9</f>
        <v/>
      </c>
      <c r="C9" s="5">
        <f>'02_Roadmap'!D9</f>
        <v/>
      </c>
      <c r="D9" s="10" t="inlineStr">
        <is>
          <t>Q2_2026</t>
        </is>
      </c>
      <c r="E9" s="10" t="inlineStr">
        <is>
          <t>Q3_2026</t>
        </is>
      </c>
      <c r="F9" s="5">
        <f>'02_Roadmap'!H9</f>
        <v/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6" customHeight="1" s="12">
      <c r="A10" s="5">
        <f>'02_Roadmap'!A10</f>
        <v/>
      </c>
      <c r="B10" s="5">
        <f>'02_Roadmap'!B10</f>
        <v/>
      </c>
      <c r="C10" s="5">
        <f>'02_Roadmap'!D10</f>
        <v/>
      </c>
      <c r="D10" s="10" t="inlineStr">
        <is>
          <t>Q2_2026</t>
        </is>
      </c>
      <c r="E10" s="10" t="inlineStr">
        <is>
          <t>Q3_2026</t>
        </is>
      </c>
      <c r="F10" s="5">
        <f>'02_Roadmap'!H10</f>
        <v/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16" customHeight="1" s="12">
      <c r="A11" s="5">
        <f>'02_Roadmap'!A11</f>
        <v/>
      </c>
      <c r="B11" s="5">
        <f>'02_Roadmap'!B11</f>
        <v/>
      </c>
      <c r="C11" s="5">
        <f>'02_Roadmap'!D11</f>
        <v/>
      </c>
      <c r="D11" s="10" t="inlineStr">
        <is>
          <t>Q2_2026</t>
        </is>
      </c>
      <c r="E11" s="10" t="inlineStr">
        <is>
          <t>Q3_2026</t>
        </is>
      </c>
      <c r="F11" s="5">
        <f>'02_Roadmap'!H11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16" customHeight="1" s="12">
      <c r="A12" s="5">
        <f>'02_Roadmap'!A12</f>
        <v/>
      </c>
      <c r="B12" s="5">
        <f>'02_Roadmap'!B12</f>
        <v/>
      </c>
      <c r="C12" s="5">
        <f>'02_Roadmap'!D12</f>
        <v/>
      </c>
      <c r="D12" s="10" t="inlineStr">
        <is>
          <t>Q2_2026</t>
        </is>
      </c>
      <c r="E12" s="10" t="inlineStr">
        <is>
          <t>Q3_2026</t>
        </is>
      </c>
      <c r="F12" s="5">
        <f>'02_Roadmap'!H12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</row>
    <row r="13" ht="16" customHeight="1" s="12">
      <c r="A13" s="5">
        <f>'02_Roadmap'!A13</f>
        <v/>
      </c>
      <c r="B13" s="5">
        <f>'02_Roadmap'!B13</f>
        <v/>
      </c>
      <c r="C13" s="5">
        <f>'02_Roadmap'!D13</f>
        <v/>
      </c>
      <c r="D13" s="10" t="inlineStr">
        <is>
          <t>Q3_2026</t>
        </is>
      </c>
      <c r="E13" s="10" t="inlineStr">
        <is>
          <t>Q3_2026</t>
        </is>
      </c>
      <c r="F13" s="5">
        <f>'02_Roadmap'!H13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</row>
    <row r="14" ht="16" customHeight="1" s="12">
      <c r="A14" s="5">
        <f>'02_Roadmap'!A14</f>
        <v/>
      </c>
      <c r="B14" s="5">
        <f>'02_Roadmap'!B14</f>
        <v/>
      </c>
      <c r="C14" s="5">
        <f>'02_Roadmap'!D14</f>
        <v/>
      </c>
      <c r="D14" s="10" t="inlineStr">
        <is>
          <t>Q3_2026</t>
        </is>
      </c>
      <c r="E14" s="10" t="inlineStr">
        <is>
          <t>Q4_2026</t>
        </is>
      </c>
      <c r="F14" s="5">
        <f>'02_Roadmap'!H14</f>
        <v/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</row>
    <row r="15" ht="16" customHeight="1" s="12">
      <c r="A15" s="5">
        <f>'02_Roadmap'!A15</f>
        <v/>
      </c>
      <c r="B15" s="5">
        <f>'02_Roadmap'!B15</f>
        <v/>
      </c>
      <c r="C15" s="5">
        <f>'02_Roadmap'!D15</f>
        <v/>
      </c>
      <c r="D15" s="10" t="inlineStr">
        <is>
          <t>Q3_2026</t>
        </is>
      </c>
      <c r="E15" s="10" t="inlineStr">
        <is>
          <t>Q4_2026</t>
        </is>
      </c>
      <c r="F15" s="5">
        <f>'02_Roadmap'!H15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</row>
    <row r="16" ht="16" customHeight="1" s="12">
      <c r="A16" s="5">
        <f>'02_Roadmap'!A16</f>
        <v/>
      </c>
      <c r="B16" s="5">
        <f>'02_Roadmap'!B16</f>
        <v/>
      </c>
      <c r="C16" s="5">
        <f>'02_Roadmap'!D16</f>
        <v/>
      </c>
      <c r="D16" s="10" t="inlineStr">
        <is>
          <t>Q1_2026</t>
        </is>
      </c>
      <c r="E16" s="10" t="inlineStr">
        <is>
          <t>Q4_2026</t>
        </is>
      </c>
      <c r="F16" s="5">
        <f>'02_Roadmap'!H16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</row>
  </sheetData>
  <mergeCells count="2">
    <mergeCell ref="A2:AO2"/>
    <mergeCell ref="A1:AO1"/>
  </mergeCells>
  <conditionalFormatting sqref="A5:F16">
    <cfRule type="expression" priority="29" dxfId="28">
      <formula>$F5="In progress"</formula>
    </cfRule>
    <cfRule type="expression" priority="28" dxfId="27">
      <formula>$F5="Blocked"</formula>
    </cfRule>
    <cfRule type="expression" priority="27" dxfId="26">
      <formula>$F5="Done"</formula>
    </cfRule>
  </conditionalFormatting>
  <conditionalFormatting sqref="G5:G16">
    <cfRule type="expression" priority="1" dxfId="0">
      <formula>AND($G$4&gt;=$D5,$G$4&lt;=$E5)</formula>
    </cfRule>
  </conditionalFormatting>
  <conditionalFormatting sqref="H5:H16">
    <cfRule type="expression" priority="2" dxfId="0">
      <formula>AND($H$4&gt;=$D5,$H$4&lt;=$E5)</formula>
    </cfRule>
  </conditionalFormatting>
  <conditionalFormatting sqref="I5:I16">
    <cfRule type="expression" priority="3" dxfId="0">
      <formula>AND($I$4&gt;=$D5,$I$4&lt;=$E5)</formula>
    </cfRule>
  </conditionalFormatting>
  <conditionalFormatting sqref="J5:J16">
    <cfRule type="expression" priority="4" dxfId="0">
      <formula>AND($J$4&gt;=$D5,$J$4&lt;=$E5)</formula>
    </cfRule>
  </conditionalFormatting>
  <conditionalFormatting sqref="K5:K16">
    <cfRule type="expression" priority="5" dxfId="0">
      <formula>AND($K$4&gt;=$D5,$K$4&lt;=$E5)</formula>
    </cfRule>
  </conditionalFormatting>
  <conditionalFormatting sqref="L5:L16">
    <cfRule type="expression" priority="6" dxfId="0">
      <formula>AND($L$4&gt;=$D5,$L$4&lt;=$E5)</formula>
    </cfRule>
  </conditionalFormatting>
  <conditionalFormatting sqref="M5:M16">
    <cfRule type="expression" priority="7" dxfId="0">
      <formula>AND($M$4&gt;=$D5,$M$4&lt;=$E5)</formula>
    </cfRule>
  </conditionalFormatting>
  <conditionalFormatting sqref="N5:N16">
    <cfRule type="expression" priority="8" dxfId="0">
      <formula>AND($N$4&gt;=$D5,$N$4&lt;=$E5)</formula>
    </cfRule>
  </conditionalFormatting>
  <conditionalFormatting sqref="O5:O16">
    <cfRule type="expression" priority="9" dxfId="0">
      <formula>AND($O$4&gt;=$D5,$O$4&lt;=$E5)</formula>
    </cfRule>
  </conditionalFormatting>
  <conditionalFormatting sqref="P5:P16">
    <cfRule type="expression" priority="10" dxfId="0">
      <formula>AND($P$4&gt;=$D5,$P$4&lt;=$E5)</formula>
    </cfRule>
  </conditionalFormatting>
  <conditionalFormatting sqref="Q5:Q16">
    <cfRule type="expression" priority="11" dxfId="0">
      <formula>AND($Q$4&gt;=$D5,$Q$4&lt;=$E5)</formula>
    </cfRule>
  </conditionalFormatting>
  <conditionalFormatting sqref="R5:R16">
    <cfRule type="expression" priority="12" dxfId="0">
      <formula>AND($R$4&gt;=$D5,$R$4&lt;=$E5)</formula>
    </cfRule>
  </conditionalFormatting>
  <conditionalFormatting sqref="S5:S16">
    <cfRule type="expression" priority="13" dxfId="0">
      <formula>AND($S$4&gt;=$D5,$S$4&lt;=$E5)</formula>
    </cfRule>
  </conditionalFormatting>
  <conditionalFormatting sqref="T5:T16">
    <cfRule type="expression" priority="14" dxfId="0">
      <formula>AND($T$4&gt;=$D5,$T$4&lt;=$E5)</formula>
    </cfRule>
  </conditionalFormatting>
  <conditionalFormatting sqref="U5:U16">
    <cfRule type="expression" priority="15" dxfId="0">
      <formula>AND($U$4&gt;=$D5,$U$4&lt;=$E5)</formula>
    </cfRule>
  </conditionalFormatting>
  <conditionalFormatting sqref="V5:V16">
    <cfRule type="expression" priority="16" dxfId="0">
      <formula>AND($V$4&gt;=$D5,$V$4&lt;=$E5)</formula>
    </cfRule>
  </conditionalFormatting>
  <conditionalFormatting sqref="W5:W16">
    <cfRule type="expression" priority="17" dxfId="0">
      <formula>AND($W$4&gt;=$D5,$W$4&lt;=$E5)</formula>
    </cfRule>
  </conditionalFormatting>
  <conditionalFormatting sqref="X5:X16">
    <cfRule type="expression" priority="18" dxfId="0">
      <formula>AND($X$4&gt;=$D5,$X$4&lt;=$E5)</formula>
    </cfRule>
  </conditionalFormatting>
  <conditionalFormatting sqref="Y5:Y16">
    <cfRule type="expression" priority="19" dxfId="0">
      <formula>AND($Y$4&gt;=$D5,$Y$4&lt;=$E5)</formula>
    </cfRule>
  </conditionalFormatting>
  <conditionalFormatting sqref="Z5:Z16">
    <cfRule type="expression" priority="20" dxfId="0">
      <formula>AND($Z$4&gt;=$D5,$Z$4&lt;=$E5)</formula>
    </cfRule>
  </conditionalFormatting>
  <conditionalFormatting sqref="AA5:AA16">
    <cfRule type="expression" priority="21" dxfId="0">
      <formula>AND($AA$4&gt;=$D5,$AA$4&lt;=$E5)</formula>
    </cfRule>
  </conditionalFormatting>
  <conditionalFormatting sqref="AB5:AB16">
    <cfRule type="expression" priority="22" dxfId="0">
      <formula>AND($AB$4&gt;=$D5,$AB$4&lt;=$E5)</formula>
    </cfRule>
  </conditionalFormatting>
  <conditionalFormatting sqref="AC5:AC16">
    <cfRule type="expression" priority="23" dxfId="0">
      <formula>AND($AC$4&gt;=$D5,$AC$4&lt;=$E5)</formula>
    </cfRule>
  </conditionalFormatting>
  <conditionalFormatting sqref="AD5:AD16">
    <cfRule type="expression" priority="24" dxfId="0">
      <formula>AND($AD$4&gt;=$D5,$AD$4&lt;=$E5)</formula>
    </cfRule>
  </conditionalFormatting>
  <conditionalFormatting sqref="AE5:AE16">
    <cfRule type="expression" priority="25" dxfId="0">
      <formula>AND($AE$4&gt;=$D5,$AE$4&lt;=$E5)</formula>
    </cfRule>
  </conditionalFormatting>
  <conditionalFormatting sqref="AF5:AF16">
    <cfRule type="expression" priority="26" dxfId="0">
      <formula>AND($AF$4&gt;=$D5,$AF$4&lt;=$E5)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ySplit="4" topLeftCell="A5" activePane="bottomLeft" state="frozen"/>
      <selection pane="bottomLeft" activeCell="E32" sqref="E32"/>
    </sheetView>
  </sheetViews>
  <sheetFormatPr baseColWidth="10" defaultColWidth="8.83203125" defaultRowHeight="15"/>
  <cols>
    <col width="10" customWidth="1" style="12" min="1" max="1"/>
    <col width="6" customWidth="1" style="12" min="2" max="2"/>
    <col width="22" customWidth="1" style="12" min="3" max="3"/>
    <col width="10" customWidth="1" style="12" min="4" max="4"/>
    <col width="34" customWidth="1" style="12" min="5" max="5"/>
    <col width="6" customWidth="1" style="12" min="6" max="6"/>
    <col width="16" customWidth="1" style="12" min="7" max="7"/>
    <col width="12" customWidth="1" style="12" min="8" max="11"/>
    <col width="16" customWidth="1" style="12" min="12" max="12"/>
    <col width="26" customWidth="1" style="12" min="13" max="13"/>
    <col width="12" customWidth="1" style="12" min="14" max="15"/>
    <col width="22" customWidth="1" style="12" min="16" max="16"/>
  </cols>
  <sheetData>
    <row r="1" ht="21" customHeight="1" s="12">
      <c r="A1" s="17" t="inlineStr">
        <is>
          <t>Ticketing System (Backlog)</t>
        </is>
      </c>
    </row>
    <row r="2">
      <c r="A2" s="16" t="inlineStr">
        <is>
          <t>Use this as a lightweight Jira: each row is a ticket. Filter/sort freely.</t>
        </is>
      </c>
    </row>
    <row r="4">
      <c r="A4" s="15" t="inlineStr">
        <is>
          <t>Ticket ID</t>
        </is>
      </c>
      <c r="B4" s="15" t="inlineStr">
        <is>
          <t>Epic</t>
        </is>
      </c>
      <c r="C4" s="15" t="inlineStr">
        <is>
          <t>Component</t>
        </is>
      </c>
      <c r="D4" s="15" t="inlineStr">
        <is>
          <t>Type</t>
        </is>
      </c>
      <c r="E4" s="15" t="inlineStr">
        <is>
          <t>Summary</t>
        </is>
      </c>
      <c r="F4" s="15" t="inlineStr">
        <is>
          <t>Priority</t>
        </is>
      </c>
      <c r="G4" s="15" t="inlineStr">
        <is>
          <t>Status</t>
        </is>
      </c>
      <c r="H4" s="15" t="inlineStr">
        <is>
          <t>Owner</t>
        </is>
      </c>
      <c r="I4" s="15" t="inlineStr">
        <is>
          <t>Estimate (hrs)</t>
        </is>
      </c>
      <c r="J4" s="15" t="inlineStr">
        <is>
          <t>Start</t>
        </is>
      </c>
      <c r="K4" s="15" t="inlineStr">
        <is>
          <t>Due</t>
        </is>
      </c>
      <c r="L4" s="15" t="inlineStr">
        <is>
          <t>Dependencies</t>
        </is>
      </c>
      <c r="M4" s="15" t="inlineStr">
        <is>
          <t>Acceptance Criteria</t>
        </is>
      </c>
      <c r="N4" s="15" t="inlineStr">
        <is>
          <t>Created</t>
        </is>
      </c>
      <c r="O4" s="15" t="inlineStr">
        <is>
          <t>Updated</t>
        </is>
      </c>
      <c r="P4" s="15" t="inlineStr">
        <is>
          <t>Notes/Link</t>
        </is>
      </c>
      <c r="Q4" t="inlineStr">
        <is>
          <t>Realm</t>
        </is>
      </c>
      <c r="R4" t="inlineStr">
        <is>
          <t>Framework_Path</t>
        </is>
      </c>
      <c r="S4" t="inlineStr">
        <is>
          <t>Roadmap_Milestone</t>
        </is>
      </c>
    </row>
    <row r="5" ht="36" customHeight="1" s="12">
      <c r="A5" s="5" t="inlineStr">
        <is>
          <t>T-0001</t>
        </is>
      </c>
      <c r="B5" s="5" t="inlineStr">
        <is>
          <t>E01</t>
        </is>
      </c>
      <c r="C5" s="5" t="inlineStr">
        <is>
          <t>Project Foundation</t>
        </is>
      </c>
      <c r="D5" s="5" t="inlineStr">
        <is>
          <t>Task</t>
        </is>
      </c>
      <c r="E5" s="5" t="inlineStr">
        <is>
          <t>Finalize project charter + principles</t>
        </is>
      </c>
      <c r="F5" s="5" t="inlineStr">
        <is>
          <t>P1</t>
        </is>
      </c>
      <c r="G5" s="5" t="inlineStr">
        <is>
          <t>In progress</t>
        </is>
      </c>
      <c r="H5" s="5" t="inlineStr">
        <is>
          <t>You</t>
        </is>
      </c>
      <c r="I5" s="5" t="n">
        <v>6</v>
      </c>
      <c r="J5" s="6" t="n">
        <v>46045</v>
      </c>
      <c r="K5" s="6" t="n">
        <v>46048</v>
      </c>
      <c r="L5" s="5" t="n"/>
      <c r="M5" s="5" t="inlineStr">
        <is>
          <t>Charter filled + agreed</t>
        </is>
      </c>
      <c r="N5" s="6" t="n">
        <v>46045</v>
      </c>
      <c r="O5" s="6" t="n">
        <v>46045</v>
      </c>
      <c r="P5" s="5" t="n"/>
      <c r="Q5" t="inlineStr">
        <is>
          <t>00_Triage_Inbox</t>
        </is>
      </c>
      <c r="R5" t="inlineStr">
        <is>
          <t>Project_Aion/00_Triage_Inbox</t>
        </is>
      </c>
      <c r="S5" t="inlineStr">
        <is>
          <t>TRIAGE</t>
        </is>
      </c>
    </row>
    <row r="6" ht="36" customHeight="1" s="12">
      <c r="A6" s="5" t="inlineStr">
        <is>
          <t>T-0002</t>
        </is>
      </c>
      <c r="B6" s="5" t="inlineStr">
        <is>
          <t>E02</t>
        </is>
      </c>
      <c r="C6" s="5" t="inlineStr">
        <is>
          <t>07_Databases</t>
        </is>
      </c>
      <c r="D6" s="5" t="inlineStr">
        <is>
          <t>Epic</t>
        </is>
      </c>
      <c r="E6" s="5" t="inlineStr">
        <is>
          <t>Define canonical entity IDs + mappings</t>
        </is>
      </c>
      <c r="F6" s="5" t="inlineStr">
        <is>
          <t>P1</t>
        </is>
      </c>
      <c r="G6" s="5" t="inlineStr">
        <is>
          <t>Not started</t>
        </is>
      </c>
      <c r="H6" s="5" t="inlineStr">
        <is>
          <t>TBD</t>
        </is>
      </c>
      <c r="I6" s="5" t="n">
        <v>12</v>
      </c>
      <c r="J6" s="6" t="n">
        <v>46052</v>
      </c>
      <c r="K6" s="6" t="n">
        <v>46066</v>
      </c>
      <c r="L6" s="5" t="inlineStr">
        <is>
          <t>T-0001</t>
        </is>
      </c>
      <c r="M6" s="5" t="inlineStr">
        <is>
          <t>IDs documented + mapping rules</t>
        </is>
      </c>
      <c r="N6" s="6" t="n">
        <v>46045</v>
      </c>
      <c r="O6" s="6" t="n">
        <v>46045</v>
      </c>
      <c r="P6" s="5" t="n"/>
      <c r="Q6" t="inlineStr">
        <is>
          <t>00_Triage_Inbox</t>
        </is>
      </c>
      <c r="R6" t="inlineStr">
        <is>
          <t>Project_Aion/00_Triage_Inbox</t>
        </is>
      </c>
      <c r="S6" t="inlineStr">
        <is>
          <t>TRIAGE</t>
        </is>
      </c>
    </row>
    <row r="7" ht="36" customHeight="1" s="12">
      <c r="A7" s="5" t="inlineStr">
        <is>
          <t>T-0003</t>
        </is>
      </c>
      <c r="B7" s="5" t="inlineStr">
        <is>
          <t>E03</t>
        </is>
      </c>
      <c r="C7" s="5" t="inlineStr">
        <is>
          <t>Features_Profile</t>
        </is>
      </c>
      <c r="D7" s="5" t="inlineStr">
        <is>
          <t>Task</t>
        </is>
      </c>
      <c r="E7" s="5" t="inlineStr">
        <is>
          <t>Create feature spec template + catalog index</t>
        </is>
      </c>
      <c r="F7" s="5" t="inlineStr">
        <is>
          <t>P1</t>
        </is>
      </c>
      <c r="G7" s="5" t="inlineStr">
        <is>
          <t>Not started</t>
        </is>
      </c>
      <c r="H7" s="5" t="inlineStr">
        <is>
          <t>TBD</t>
        </is>
      </c>
      <c r="I7" s="5" t="n">
        <v>8</v>
      </c>
      <c r="J7" s="6" t="n">
        <v>46059</v>
      </c>
      <c r="K7" s="6" t="n">
        <v>46073</v>
      </c>
      <c r="L7" s="5" t="inlineStr">
        <is>
          <t>T-0001</t>
        </is>
      </c>
      <c r="M7" s="5" t="inlineStr">
        <is>
          <t>Template + example spec complete</t>
        </is>
      </c>
      <c r="N7" s="6" t="n">
        <v>46045</v>
      </c>
      <c r="O7" s="6" t="n">
        <v>46045</v>
      </c>
      <c r="P7" s="5" t="n"/>
      <c r="Q7" t="inlineStr">
        <is>
          <t>00_Triage_Inbox</t>
        </is>
      </c>
      <c r="R7" t="inlineStr">
        <is>
          <t>Project_Aion/00_Triage_Inbox</t>
        </is>
      </c>
      <c r="S7" t="inlineStr">
        <is>
          <t>TRIAGE</t>
        </is>
      </c>
    </row>
    <row r="8" ht="36" customHeight="1" s="12">
      <c r="A8" s="5" t="inlineStr">
        <is>
          <t>T-0004</t>
        </is>
      </c>
      <c r="B8" s="5" t="inlineStr">
        <is>
          <t>E08</t>
        </is>
      </c>
      <c r="C8" s="5" t="inlineStr">
        <is>
          <t>GUI_Glass_Cockpit</t>
        </is>
      </c>
      <c r="D8" s="5" t="inlineStr">
        <is>
          <t>Task</t>
        </is>
      </c>
      <c r="E8" s="5" t="inlineStr">
        <is>
          <t>Define cockpit screen map + key panels</t>
        </is>
      </c>
      <c r="F8" s="5" t="inlineStr">
        <is>
          <t>P2</t>
        </is>
      </c>
      <c r="G8" s="5" t="inlineStr">
        <is>
          <t>Not started</t>
        </is>
      </c>
      <c r="H8" s="5" t="inlineStr">
        <is>
          <t>TBD</t>
        </is>
      </c>
      <c r="I8" s="5" t="n">
        <v>10</v>
      </c>
      <c r="J8" s="6" t="n">
        <v>46066</v>
      </c>
      <c r="K8" s="6" t="n">
        <v>46080</v>
      </c>
      <c r="L8" s="5" t="inlineStr">
        <is>
          <t>T-0001</t>
        </is>
      </c>
      <c r="M8" s="5" t="inlineStr">
        <is>
          <t>Screen map + panel list</t>
        </is>
      </c>
      <c r="N8" s="6" t="n">
        <v>46045</v>
      </c>
      <c r="O8" s="6" t="n">
        <v>46045</v>
      </c>
      <c r="P8" s="5" t="n"/>
      <c r="Q8" t="inlineStr">
        <is>
          <t>00_Triage_Inbox</t>
        </is>
      </c>
      <c r="R8" t="inlineStr">
        <is>
          <t>Project_Aion/00_Triage_Inbox</t>
        </is>
      </c>
      <c r="S8" t="inlineStr">
        <is>
          <t>TRIAGE</t>
        </is>
      </c>
    </row>
    <row r="9" ht="36" customHeight="1" s="12">
      <c r="A9" s="5" t="inlineStr">
        <is>
          <t>T-0005</t>
        </is>
      </c>
      <c r="B9" s="5" t="inlineStr">
        <is>
          <t>E11</t>
        </is>
      </c>
      <c r="C9" s="5" t="inlineStr">
        <is>
          <t>Backtesting</t>
        </is>
      </c>
      <c r="D9" s="5" t="inlineStr">
        <is>
          <t>Task</t>
        </is>
      </c>
      <c r="E9" s="5" t="inlineStr">
        <is>
          <t>Decide replay granularity + event-time rules</t>
        </is>
      </c>
      <c r="F9" s="5" t="inlineStr">
        <is>
          <t>P1</t>
        </is>
      </c>
      <c r="G9" s="5" t="inlineStr">
        <is>
          <t>Not started</t>
        </is>
      </c>
      <c r="H9" s="5" t="inlineStr">
        <is>
          <t>TBD</t>
        </is>
      </c>
      <c r="I9" s="5" t="n">
        <v>6</v>
      </c>
      <c r="J9" s="6" t="n">
        <v>46066</v>
      </c>
      <c r="K9" s="6" t="n">
        <v>46077</v>
      </c>
      <c r="L9" s="5" t="inlineStr">
        <is>
          <t>T-0002</t>
        </is>
      </c>
      <c r="M9" s="5" t="inlineStr">
        <is>
          <t>Rules doc complete</t>
        </is>
      </c>
      <c r="N9" s="6" t="n">
        <v>46045</v>
      </c>
      <c r="O9" s="6" t="n">
        <v>46045</v>
      </c>
      <c r="P9" s="5" t="n"/>
      <c r="Q9" t="inlineStr">
        <is>
          <t>00_Triage_Inbox</t>
        </is>
      </c>
      <c r="R9" t="inlineStr">
        <is>
          <t>Project_Aion/00_Triage_Inbox</t>
        </is>
      </c>
      <c r="S9" t="inlineStr">
        <is>
          <t>TRIAGE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</sheetData>
  <mergeCells count="2">
    <mergeCell ref="A1:P1"/>
    <mergeCell ref="A2:P2"/>
  </mergeCells>
  <dataValidations count="3">
    <dataValidation sqref="F5:F200" showDropDown="0" showInputMessage="0" showErrorMessage="0" allowBlank="1" type="list">
      <formula1>"P0,P1,P2,P3"</formula1>
    </dataValidation>
    <dataValidation sqref="D5:D200" showDropDown="0" showInputMessage="0" showErrorMessage="0" allowBlank="1" type="list">
      <formula1>"Epic,Story,Task,Bug,Spike"</formula1>
    </dataValidation>
    <dataValidation sqref="G5:G200" showDropDown="0" showInputMessage="0" showErrorMessage="0" allowBlank="1" type="list">
      <formula1>"Backlog,Not started,In progress,Blocked,Ready for review,Done"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D34" sqref="D34"/>
    </sheetView>
  </sheetViews>
  <sheetFormatPr baseColWidth="10" defaultColWidth="8.83203125" defaultRowHeight="15"/>
  <cols>
    <col width="30" customWidth="1" style="12" min="1" max="1"/>
    <col width="18" customWidth="1" style="12" min="2" max="2"/>
    <col width="12" customWidth="1" style="12" min="3" max="8"/>
  </cols>
  <sheetData>
    <row r="1" ht="21" customHeight="1" s="12">
      <c r="A1" s="17" t="inlineStr">
        <is>
          <t>Dashboard (Auto)</t>
        </is>
      </c>
    </row>
    <row r="2">
      <c r="A2" s="16" t="inlineStr">
        <is>
          <t>Counts update as you add/edit tickets.</t>
        </is>
      </c>
    </row>
    <row r="4">
      <c r="A4" s="9" t="inlineStr">
        <is>
          <t>Ticket counts by Status</t>
        </is>
      </c>
      <c r="D4" s="9" t="inlineStr">
        <is>
          <t>Ticket counts by Priority</t>
        </is>
      </c>
    </row>
    <row r="6">
      <c r="A6" s="15" t="inlineStr">
        <is>
          <t>Status</t>
        </is>
      </c>
      <c r="B6" s="15" t="inlineStr">
        <is>
          <t>Count</t>
        </is>
      </c>
      <c r="C6" s="15" t="n"/>
      <c r="D6" s="15" t="inlineStr">
        <is>
          <t>Priority</t>
        </is>
      </c>
      <c r="E6" s="15" t="inlineStr">
        <is>
          <t>Count</t>
        </is>
      </c>
    </row>
    <row r="7" ht="16" customHeight="1" s="12">
      <c r="A7" s="5" t="inlineStr">
        <is>
          <t>Backlog</t>
        </is>
      </c>
      <c r="B7" s="8">
        <f>COUNTIF('04_Tickets'!$G:$G,"Backlog")</f>
        <v/>
      </c>
      <c r="D7" s="5" t="inlineStr">
        <is>
          <t>P0</t>
        </is>
      </c>
      <c r="E7" s="8">
        <f>COUNTIF('04_Tickets'!$F:$F,"P0")</f>
        <v/>
      </c>
    </row>
    <row r="8" ht="16" customHeight="1" s="12">
      <c r="A8" s="5" t="inlineStr">
        <is>
          <t>Not started</t>
        </is>
      </c>
      <c r="B8" s="8">
        <f>COUNTIF('04_Tickets'!$G:$G,"Not started")</f>
        <v/>
      </c>
      <c r="D8" s="5" t="inlineStr">
        <is>
          <t>P1</t>
        </is>
      </c>
      <c r="E8" s="8">
        <f>COUNTIF('04_Tickets'!$F:$F,"P1")</f>
        <v/>
      </c>
    </row>
    <row r="9" ht="16" customHeight="1" s="12">
      <c r="A9" s="5" t="inlineStr">
        <is>
          <t>In progress</t>
        </is>
      </c>
      <c r="B9" s="8">
        <f>COUNTIF('04_Tickets'!$G:$G,"In progress")</f>
        <v/>
      </c>
      <c r="D9" s="5" t="inlineStr">
        <is>
          <t>P2</t>
        </is>
      </c>
      <c r="E9" s="8">
        <f>COUNTIF('04_Tickets'!$F:$F,"P2")</f>
        <v/>
      </c>
    </row>
    <row r="10" ht="16" customHeight="1" s="12">
      <c r="A10" s="5" t="inlineStr">
        <is>
          <t>Blocked</t>
        </is>
      </c>
      <c r="B10" s="8">
        <f>COUNTIF('04_Tickets'!$G:$G,"Blocked")</f>
        <v/>
      </c>
      <c r="D10" s="5" t="inlineStr">
        <is>
          <t>P3</t>
        </is>
      </c>
      <c r="E10" s="8">
        <f>COUNTIF('04_Tickets'!$F:$F,"P3")</f>
        <v/>
      </c>
    </row>
    <row r="11" ht="16" customHeight="1" s="12">
      <c r="A11" s="5" t="inlineStr">
        <is>
          <t>Ready for review</t>
        </is>
      </c>
      <c r="B11" s="8">
        <f>COUNTIF('04_Tickets'!$G:$G,"Ready for review")</f>
        <v/>
      </c>
    </row>
    <row r="12" ht="16" customHeight="1" s="12">
      <c r="A12" s="5" t="inlineStr">
        <is>
          <t>Done</t>
        </is>
      </c>
      <c r="B12" s="8">
        <f>COUNTIF('04_Tickets'!$G:$G,"Done")</f>
        <v/>
      </c>
    </row>
    <row r="14">
      <c r="A14" s="9" t="inlineStr">
        <is>
          <t>Epics status snapshot</t>
        </is>
      </c>
    </row>
    <row r="16">
      <c r="A16" s="15" t="inlineStr">
        <is>
          <t>Epic</t>
        </is>
      </c>
      <c r="B16" s="15" t="inlineStr">
        <is>
          <t>Status</t>
        </is>
      </c>
      <c r="C16" s="15" t="inlineStr">
        <is>
          <t>Start</t>
        </is>
      </c>
      <c r="D16" s="15" t="inlineStr">
        <is>
          <t>End</t>
        </is>
      </c>
    </row>
    <row r="17" ht="16" customHeight="1" s="12">
      <c r="A17" s="5">
        <f>'02_Roadmap'!B5</f>
        <v/>
      </c>
      <c r="B17" s="5">
        <f>'02_Roadmap'!H5</f>
        <v/>
      </c>
      <c r="C17" s="6">
        <f>'02_Roadmap'!E5</f>
        <v/>
      </c>
      <c r="D17" s="6">
        <f>'02_Roadmap'!F5</f>
        <v/>
      </c>
    </row>
    <row r="18" ht="16" customHeight="1" s="12">
      <c r="A18" s="5">
        <f>'02_Roadmap'!B6</f>
        <v/>
      </c>
      <c r="B18" s="5">
        <f>'02_Roadmap'!H6</f>
        <v/>
      </c>
      <c r="C18" s="6">
        <f>'02_Roadmap'!E6</f>
        <v/>
      </c>
      <c r="D18" s="6">
        <f>'02_Roadmap'!F6</f>
        <v/>
      </c>
    </row>
    <row r="19" ht="16" customHeight="1" s="12">
      <c r="A19" s="5">
        <f>'02_Roadmap'!B7</f>
        <v/>
      </c>
      <c r="B19" s="5">
        <f>'02_Roadmap'!H7</f>
        <v/>
      </c>
      <c r="C19" s="6">
        <f>'02_Roadmap'!E7</f>
        <v/>
      </c>
      <c r="D19" s="6">
        <f>'02_Roadmap'!F7</f>
        <v/>
      </c>
    </row>
    <row r="20" ht="16" customHeight="1" s="12">
      <c r="A20" s="5">
        <f>'02_Roadmap'!B8</f>
        <v/>
      </c>
      <c r="B20" s="5">
        <f>'02_Roadmap'!H8</f>
        <v/>
      </c>
      <c r="C20" s="6">
        <f>'02_Roadmap'!E8</f>
        <v/>
      </c>
      <c r="D20" s="6">
        <f>'02_Roadmap'!F8</f>
        <v/>
      </c>
    </row>
    <row r="21" ht="16" customHeight="1" s="12">
      <c r="A21" s="5">
        <f>'02_Roadmap'!B9</f>
        <v/>
      </c>
      <c r="B21" s="5">
        <f>'02_Roadmap'!H9</f>
        <v/>
      </c>
      <c r="C21" s="6">
        <f>'02_Roadmap'!E9</f>
        <v/>
      </c>
      <c r="D21" s="6">
        <f>'02_Roadmap'!F9</f>
        <v/>
      </c>
    </row>
    <row r="22" ht="16" customHeight="1" s="12">
      <c r="A22" s="5">
        <f>'02_Roadmap'!B10</f>
        <v/>
      </c>
      <c r="B22" s="5">
        <f>'02_Roadmap'!H10</f>
        <v/>
      </c>
      <c r="C22" s="6">
        <f>'02_Roadmap'!E10</f>
        <v/>
      </c>
      <c r="D22" s="6">
        <f>'02_Roadmap'!F10</f>
        <v/>
      </c>
    </row>
    <row r="23" ht="16" customHeight="1" s="12">
      <c r="A23" s="5">
        <f>'02_Roadmap'!B11</f>
        <v/>
      </c>
      <c r="B23" s="5">
        <f>'02_Roadmap'!H11</f>
        <v/>
      </c>
      <c r="C23" s="6">
        <f>'02_Roadmap'!E11</f>
        <v/>
      </c>
      <c r="D23" s="6">
        <f>'02_Roadmap'!F11</f>
        <v/>
      </c>
    </row>
    <row r="24" ht="16" customHeight="1" s="12">
      <c r="A24" s="5">
        <f>'02_Roadmap'!B12</f>
        <v/>
      </c>
      <c r="B24" s="5">
        <f>'02_Roadmap'!H12</f>
        <v/>
      </c>
      <c r="C24" s="6">
        <f>'02_Roadmap'!E12</f>
        <v/>
      </c>
      <c r="D24" s="6">
        <f>'02_Roadmap'!F12</f>
        <v/>
      </c>
    </row>
    <row r="25" ht="16" customHeight="1" s="12">
      <c r="A25" s="5">
        <f>'02_Roadmap'!B13</f>
        <v/>
      </c>
      <c r="B25" s="5">
        <f>'02_Roadmap'!H13</f>
        <v/>
      </c>
      <c r="C25" s="6">
        <f>'02_Roadmap'!E13</f>
        <v/>
      </c>
      <c r="D25" s="6">
        <f>'02_Roadmap'!F13</f>
        <v/>
      </c>
    </row>
    <row r="26" ht="16" customHeight="1" s="12">
      <c r="A26" s="5">
        <f>'02_Roadmap'!B14</f>
        <v/>
      </c>
      <c r="B26" s="5">
        <f>'02_Roadmap'!H14</f>
        <v/>
      </c>
      <c r="C26" s="6">
        <f>'02_Roadmap'!E14</f>
        <v/>
      </c>
      <c r="D26" s="6">
        <f>'02_Roadmap'!F14</f>
        <v/>
      </c>
    </row>
    <row r="27" ht="16" customHeight="1" s="12">
      <c r="A27" s="5">
        <f>'02_Roadmap'!B15</f>
        <v/>
      </c>
      <c r="B27" s="5">
        <f>'02_Roadmap'!H15</f>
        <v/>
      </c>
      <c r="C27" s="6">
        <f>'02_Roadmap'!E15</f>
        <v/>
      </c>
      <c r="D27" s="6">
        <f>'02_Roadmap'!F15</f>
        <v/>
      </c>
    </row>
    <row r="28" ht="16" customHeight="1" s="12">
      <c r="A28" s="5">
        <f>'02_Roadmap'!B16</f>
        <v/>
      </c>
      <c r="B28" s="5">
        <f>'02_Roadmap'!H16</f>
        <v/>
      </c>
      <c r="C28" s="6">
        <f>'02_Roadmap'!E16</f>
        <v/>
      </c>
      <c r="D28" s="6">
        <f>'02_Roadmap'!F16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E41" sqref="E41"/>
    </sheetView>
  </sheetViews>
  <sheetFormatPr baseColWidth="10" defaultColWidth="8.83203125" defaultRowHeight="15"/>
  <cols>
    <col width="10" customWidth="1" style="12" min="1" max="1"/>
    <col width="12" customWidth="1" style="12" min="2" max="2"/>
    <col width="28" customWidth="1" style="12" min="3" max="3"/>
    <col width="32" customWidth="1" style="12" min="4" max="4"/>
    <col width="12" customWidth="1" style="12" min="5" max="5"/>
    <col width="14" customWidth="1" style="12" min="6" max="6"/>
    <col width="22" customWidth="1" style="12" min="7" max="8"/>
  </cols>
  <sheetData>
    <row r="1" ht="21" customHeight="1" s="12">
      <c r="A1" s="17" t="inlineStr">
        <is>
          <t>Decisions Log</t>
        </is>
      </c>
    </row>
    <row r="2">
      <c r="A2" s="16" t="inlineStr">
        <is>
          <t>Record key decisions so the project stays coherent over time.</t>
        </is>
      </c>
    </row>
    <row r="4">
      <c r="A4" s="15" t="inlineStr">
        <is>
          <t>Decision ID</t>
        </is>
      </c>
      <c r="B4" s="15" t="inlineStr">
        <is>
          <t>Date</t>
        </is>
      </c>
      <c r="C4" s="15" t="inlineStr">
        <is>
          <t>Decision</t>
        </is>
      </c>
      <c r="D4" s="15" t="inlineStr">
        <is>
          <t>Rationale</t>
        </is>
      </c>
      <c r="E4" s="15" t="inlineStr">
        <is>
          <t>Owner</t>
        </is>
      </c>
      <c r="F4" s="15" t="inlineStr">
        <is>
          <t>Status</t>
        </is>
      </c>
      <c r="G4" s="15" t="inlineStr">
        <is>
          <t>Impacted Components</t>
        </is>
      </c>
      <c r="H4" s="15" t="inlineStr">
        <is>
          <t>Links/Notes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2026-01-23T06:09:17Z</dcterms:created>
  <dcterms:modified xsi:type="dcterms:W3CDTF">2026-01-28T02:35:55Z</dcterms:modified>
  <cp:lastModifiedBy>SHANE CLARKE</cp:lastModifiedBy>
</cp:coreProperties>
</file>
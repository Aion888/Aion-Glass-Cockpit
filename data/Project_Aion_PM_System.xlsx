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shaneclarke/Desktop/8ALPHA/"/>
    </mc:Choice>
  </mc:AlternateContent>
  <xr:revisionPtr revIDLastSave="0" documentId="8_{53AFD769-E1CA-3444-B652-AD9D62C8B04E}" xr6:coauthVersionLast="47" xr6:coauthVersionMax="47" xr10:uidLastSave="{00000000-0000-0000-0000-000000000000}"/>
  <bookViews>
    <workbookView xWindow="26480" yWindow="-23320" windowWidth="26160" windowHeight="17120" xr2:uid="{00000000-000D-0000-FFFF-FFFF00000000}"/>
  </bookViews>
  <sheets>
    <sheet name="01_Project_Charter" sheetId="1" r:id="rId1"/>
    <sheet name="02_Roadmap" sheetId="2" r:id="rId2"/>
    <sheet name="03_Gantt" sheetId="3" r:id="rId3"/>
    <sheet name="04_Tickets" sheetId="4" r:id="rId4"/>
    <sheet name="05_Dashboard" sheetId="5" r:id="rId5"/>
    <sheet name="06_Decisions_Log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5" l="1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B12" i="5"/>
  <c r="B11" i="5"/>
  <c r="E10" i="5"/>
  <c r="B10" i="5"/>
  <c r="E9" i="5"/>
  <c r="B9" i="5"/>
  <c r="E8" i="5"/>
  <c r="B8" i="5"/>
  <c r="E7" i="5"/>
  <c r="B7" i="5"/>
  <c r="F16" i="3"/>
  <c r="C16" i="3"/>
  <c r="B16" i="3"/>
  <c r="A16" i="3"/>
  <c r="F15" i="3"/>
  <c r="C15" i="3"/>
  <c r="B15" i="3"/>
  <c r="A15" i="3"/>
  <c r="F14" i="3"/>
  <c r="C14" i="3"/>
  <c r="B14" i="3"/>
  <c r="A14" i="3"/>
  <c r="F13" i="3"/>
  <c r="C13" i="3"/>
  <c r="B13" i="3"/>
  <c r="A13" i="3"/>
  <c r="F12" i="3"/>
  <c r="C12" i="3"/>
  <c r="B12" i="3"/>
  <c r="A12" i="3"/>
  <c r="F11" i="3"/>
  <c r="C11" i="3"/>
  <c r="B11" i="3"/>
  <c r="A11" i="3"/>
  <c r="F10" i="3"/>
  <c r="C10" i="3"/>
  <c r="B10" i="3"/>
  <c r="A10" i="3"/>
  <c r="F9" i="3"/>
  <c r="C9" i="3"/>
  <c r="B9" i="3"/>
  <c r="A9" i="3"/>
  <c r="F8" i="3"/>
  <c r="C8" i="3"/>
  <c r="B8" i="3"/>
  <c r="A8" i="3"/>
  <c r="F7" i="3"/>
  <c r="C7" i="3"/>
  <c r="B7" i="3"/>
  <c r="A7" i="3"/>
  <c r="F6" i="3"/>
  <c r="C6" i="3"/>
  <c r="B6" i="3"/>
  <c r="A6" i="3"/>
  <c r="F5" i="3"/>
  <c r="C5" i="3"/>
  <c r="B5" i="3"/>
  <c r="A5" i="3"/>
</calcChain>
</file>

<file path=xl/sharedStrings.xml><?xml version="1.0" encoding="utf-8"?>
<sst xmlns="http://schemas.openxmlformats.org/spreadsheetml/2006/main" count="264" uniqueCount="139">
  <si>
    <t>Project Aion — Project Charter &amp; Intake</t>
  </si>
  <si>
    <t>Fill these in once; we’ll keep them updated as the single source of truth.</t>
  </si>
  <si>
    <t>Field</t>
  </si>
  <si>
    <t>Notes</t>
  </si>
  <si>
    <t>Project vision (1–2 sentences)</t>
  </si>
  <si>
    <t>Primary objectives (top 5)</t>
  </si>
  <si>
    <t>Non‑negotiable principles</t>
  </si>
  <si>
    <t>Scope: in / out</t>
  </si>
  <si>
    <t>Target markets &amp; instruments</t>
  </si>
  <si>
    <t>Time horizons (early/mid/late, pre‑race/in‑play, etc.)</t>
  </si>
  <si>
    <t>Key resources (data, infra, tools, people)</t>
  </si>
  <si>
    <t>Industry network / partnerships (optional)</t>
  </si>
  <si>
    <t>Constraints (legal/compliance, latency, costs, etc.)</t>
  </si>
  <si>
    <t>Success metrics (KPIs)</t>
  </si>
  <si>
    <t>Major risks &amp; mitigations</t>
  </si>
  <si>
    <t>Open questions / decisions needed</t>
  </si>
  <si>
    <t>High‑Level Roadmap (Epics)</t>
  </si>
  <si>
    <t>Baseline created: 2026-01-23  |  Adjust dates/owners freely.</t>
  </si>
  <si>
    <t>Epic ID</t>
  </si>
  <si>
    <t>Epic</t>
  </si>
  <si>
    <t>Goal</t>
  </si>
  <si>
    <t>Owner</t>
  </si>
  <si>
    <t>Start</t>
  </si>
  <si>
    <t>End</t>
  </si>
  <si>
    <t>Duration (days)</t>
  </si>
  <si>
    <t>Status</t>
  </si>
  <si>
    <t>Dependency</t>
  </si>
  <si>
    <t>E01</t>
  </si>
  <si>
    <t>Foundation &amp; governance</t>
  </si>
  <si>
    <t>Charter, structure, decision log, workflows</t>
  </si>
  <si>
    <t>You</t>
  </si>
  <si>
    <t>Not started</t>
  </si>
  <si>
    <t>Sets up operating rhythm</t>
  </si>
  <si>
    <t>E02</t>
  </si>
  <si>
    <t>Databases core</t>
  </si>
  <si>
    <t>Fundamental/Technical/Transactional domains + schemas</t>
  </si>
  <si>
    <t>TBD</t>
  </si>
  <si>
    <t>E03</t>
  </si>
  <si>
    <t>Feature system</t>
  </si>
  <si>
    <t>Feature principles, profile, performance, ratings suite</t>
  </si>
  <si>
    <t>POWRTG/SPDRTG/MRKRTG/TRKSPD/Time Standards</t>
  </si>
  <si>
    <t>E04</t>
  </si>
  <si>
    <t>ML &amp; MLOps</t>
  </si>
  <si>
    <t>XGBoost module + MLflow + monitoring + gates</t>
  </si>
  <si>
    <t>E05</t>
  </si>
  <si>
    <t>Trading engines</t>
  </si>
  <si>
    <t>OMS/execution/risk guardrails/sim</t>
  </si>
  <si>
    <t>E06</t>
  </si>
  <si>
    <t>Pulse &amp; triggers</t>
  </si>
  <si>
    <t>Race status, bet triggers, GUI pulse input</t>
  </si>
  <si>
    <t>E07</t>
  </si>
  <si>
    <t>Strategy library</t>
  </si>
  <si>
    <t>Early/Mid/Late, Tote, Exchange, Fixed Odds, Dividend, cA, Staking</t>
  </si>
  <si>
    <t>E08</t>
  </si>
  <si>
    <t>GUI Glass Cockpit</t>
  </si>
  <si>
    <t>Dash UI, design system, panels, icon library</t>
  </si>
  <si>
    <t>E09</t>
  </si>
  <si>
    <t>AWACS admin</t>
  </si>
  <si>
    <t>Monitoring, kill switches, permissions, drills</t>
  </si>
  <si>
    <t>E10</t>
  </si>
  <si>
    <t>BI / Reporting / Recon</t>
  </si>
  <si>
    <t>KPI layer, reporting packs, reconciliation controls</t>
  </si>
  <si>
    <t>E11</t>
  </si>
  <si>
    <t>Simulation &amp; backtesting</t>
  </si>
  <si>
    <t>Deterministic replay + exec sim + review packs</t>
  </si>
  <si>
    <t>E12</t>
  </si>
  <si>
    <t>IT Infrastructure</t>
  </si>
  <si>
    <t>Envs, CI/CD, observability, security</t>
  </si>
  <si>
    <t>Parallel stream</t>
  </si>
  <si>
    <t>Gantt Chart (High‑Level Epics)</t>
  </si>
  <si>
    <t>Edit dates/status in 02_Roadmap. This sheet visualises automatically.</t>
  </si>
  <si>
    <t>Ticketing System (Backlog)</t>
  </si>
  <si>
    <t>Use this as a lightweight Jira: each row is a ticket. Filter/sort freely.</t>
  </si>
  <si>
    <t>Ticket ID</t>
  </si>
  <si>
    <t>Component</t>
  </si>
  <si>
    <t>Type</t>
  </si>
  <si>
    <t>Summary</t>
  </si>
  <si>
    <t>Priority</t>
  </si>
  <si>
    <t>Estimate (hrs)</t>
  </si>
  <si>
    <t>Due</t>
  </si>
  <si>
    <t>Dependencies</t>
  </si>
  <si>
    <t>Acceptance Criteria</t>
  </si>
  <si>
    <t>Created</t>
  </si>
  <si>
    <t>Updated</t>
  </si>
  <si>
    <t>Notes/Link</t>
  </si>
  <si>
    <t>T-0001</t>
  </si>
  <si>
    <t>Project Foundation</t>
  </si>
  <si>
    <t>Task</t>
  </si>
  <si>
    <t>Finalize project charter + principles</t>
  </si>
  <si>
    <t>P1</t>
  </si>
  <si>
    <t>In progress</t>
  </si>
  <si>
    <t>Charter filled + agreed</t>
  </si>
  <si>
    <t>T-0002</t>
  </si>
  <si>
    <t>07_Databases</t>
  </si>
  <si>
    <t>Define canonical entity IDs + mappings</t>
  </si>
  <si>
    <t>IDs documented + mapping rules</t>
  </si>
  <si>
    <t>T-0003</t>
  </si>
  <si>
    <t>Features_Profile</t>
  </si>
  <si>
    <t>Create feature spec template + catalog index</t>
  </si>
  <si>
    <t>Template + example spec complete</t>
  </si>
  <si>
    <t>T-0004</t>
  </si>
  <si>
    <t>GUI_Glass_Cockpit</t>
  </si>
  <si>
    <t>Define cockpit screen map + key panels</t>
  </si>
  <si>
    <t>P2</t>
  </si>
  <si>
    <t>Screen map + panel list</t>
  </si>
  <si>
    <t>T-0005</t>
  </si>
  <si>
    <t>Backtesting</t>
  </si>
  <si>
    <t>Decide replay granularity + event-time rules</t>
  </si>
  <si>
    <t>Rules doc complete</t>
  </si>
  <si>
    <t>Dashboard (Auto)</t>
  </si>
  <si>
    <t>Counts update as you add/edit tickets.</t>
  </si>
  <si>
    <t>Ticket counts by Status</t>
  </si>
  <si>
    <t>Ticket counts by Priority</t>
  </si>
  <si>
    <t>Count</t>
  </si>
  <si>
    <t>Backlog</t>
  </si>
  <si>
    <t>P0</t>
  </si>
  <si>
    <t>Blocked</t>
  </si>
  <si>
    <t>P3</t>
  </si>
  <si>
    <t>Ready for review</t>
  </si>
  <si>
    <t>Done</t>
  </si>
  <si>
    <t>Epics status snapshot</t>
  </si>
  <si>
    <t>Decisions Log</t>
  </si>
  <si>
    <t>Record key decisions so the project stays coherent over time.</t>
  </si>
  <si>
    <t>Decision ID</t>
  </si>
  <si>
    <t>Date</t>
  </si>
  <si>
    <t>Decision</t>
  </si>
  <si>
    <t>Rationale</t>
  </si>
  <si>
    <t>Impacted Components</t>
  </si>
  <si>
    <t>Links/Notes</t>
  </si>
  <si>
    <t>France, Hong Kong, Japan, Australia, GCC</t>
  </si>
  <si>
    <t>Sri Lanka Video Analysts BPO - Proprietary Data Compilation, Aion Global Database System, Advanced ML Feature Library, XGBoost Modelling Platform, Automated Full Market Spectrum (Tote, Fixed Odds, Betfair Exchange, Asian Exchange , Fixed Odds)</t>
  </si>
  <si>
    <t>Data Integrity, Precision, Flexibility, Adaptation</t>
  </si>
  <si>
    <t xml:space="preserve">Phased development with development budget driven by trading revenue </t>
  </si>
  <si>
    <t>Consolidatie Database Platform, Advanced Proprietary Data Operation, Develop initial phase routine daily Hidden Merit manual trading list for France &amp; Hong Kong, Develop Modelling &amp; Automated Trading platforms (with Chatgpt assitance)</t>
  </si>
  <si>
    <t>Q1_2026</t>
  </si>
  <si>
    <t>Q2_2026</t>
  </si>
  <si>
    <t>Q3_2026</t>
  </si>
  <si>
    <t>Q4_2026</t>
  </si>
  <si>
    <t>Aion Global (Equine &amp; Sport) will be a 50/50 collaboration between me (Shane Clarke) and my business partner Ned Sangster to compile our collective knowledge and resources to create a next generation global thoroughbred racing trading &amp; performance measurement ecosystem. 1) Strategic Intent
Purpose: Develop Project Aion into a repeatable, auditable trading capability that can be (a) commercialised as a standalone business or (b) integrated into a partner fund structure with external bankroll.
2) Two Commercialisation Pathways
Path A — New Business:
Own capital (initially) + build track record + scale capital later
Outputs: productised stack, operations, risk controls, reporting
Path B — Fund Collaboration / Bankroll Partner:
Partner supplies capital; you supply edge + system + execution
Outputs: institutional-grade reporting, risk policy, model governance, controls, and a due diligence pack
3) A “Decision Gate” (make it explicit)
Add a milestone like:
Decision Gate (end of Q3 2026): Choose Path A or Path B based on:
live/sim performance vs targets
operational readiness (controls + reliability)
partner appetite / pipeline
legal + compliance feasibility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</si>
</sst>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mmm\ d"/>
  </numFmts>
  <fonts count="5" x14ac:knownFonts="1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</font>
    <font>
      <i/>
      <sz val="11"/>
      <color rgb="FF404040"/>
      <name val="Calibri"/>
      <family val="2"/>
    </font>
    <font>
      <b/>
      <sz val="11"/>
      <color rgb="FFFFFFFF"/>
      <name val="Calibri"/>
      <family val="2"/>
    </font>
    <font>
      <b/>
      <sz val="11"/>
      <color rgb="FF1F4E79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left" vertical="top" wrapText="1"/>
    </xf>
    <xf numFmtId="165" fontId="3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0" xfId="0" applyFont="1"/>
    <xf numFmtId="164" fontId="0" fillId="0" borderId="1" xfId="0" applyNumberFormat="1" applyBorder="1" applyAlignment="1">
      <alignment horizontal="center" vertical="top" wrapText="1"/>
    </xf>
    <xf numFmtId="0" fontId="1" fillId="0" borderId="0" xfId="0" applyFont="1" applyAlignment="1">
      <alignment horizontal="left" vertical="center"/>
    </xf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1" xfId="0" applyBorder="1"/>
    <xf numFmtId="0" fontId="3" fillId="2" borderId="1" xfId="0" applyFont="1" applyFill="1" applyBorder="1" applyAlignment="1">
      <alignment horizontal="center" vertical="center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32"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showGridLines="0" tabSelected="1" workbookViewId="0">
      <selection activeCell="B4" sqref="B4:H4"/>
    </sheetView>
  </sheetViews>
  <sheetFormatPr baseColWidth="10" defaultColWidth="8.83203125" defaultRowHeight="15" x14ac:dyDescent="0.2"/>
  <cols>
    <col min="1" max="1" width="34" customWidth="1"/>
    <col min="2" max="8" width="22" customWidth="1"/>
  </cols>
  <sheetData>
    <row r="1" spans="1:8" ht="21" x14ac:dyDescent="0.2">
      <c r="A1" s="11" t="s">
        <v>0</v>
      </c>
      <c r="B1" s="12"/>
      <c r="C1" s="12"/>
      <c r="D1" s="12"/>
      <c r="E1" s="12"/>
      <c r="F1" s="12"/>
      <c r="G1" s="12"/>
      <c r="H1" s="12"/>
    </row>
    <row r="2" spans="1:8" x14ac:dyDescent="0.2">
      <c r="A2" s="16" t="s">
        <v>1</v>
      </c>
      <c r="B2" s="12"/>
      <c r="C2" s="12"/>
      <c r="D2" s="12"/>
      <c r="E2" s="12"/>
      <c r="F2" s="12"/>
      <c r="G2" s="12"/>
      <c r="H2" s="12"/>
    </row>
    <row r="3" spans="1:8" x14ac:dyDescent="0.2">
      <c r="A3" s="1" t="s">
        <v>2</v>
      </c>
      <c r="B3" s="15" t="s">
        <v>3</v>
      </c>
      <c r="C3" s="15"/>
      <c r="D3" s="15"/>
      <c r="E3" s="15"/>
      <c r="F3" s="15"/>
      <c r="G3" s="15"/>
      <c r="H3" s="15"/>
    </row>
    <row r="4" spans="1:8" ht="360" customHeight="1" x14ac:dyDescent="0.2">
      <c r="A4" s="2" t="s">
        <v>4</v>
      </c>
      <c r="B4" s="13" t="s">
        <v>138</v>
      </c>
      <c r="C4" s="14"/>
      <c r="D4" s="14"/>
      <c r="E4" s="14"/>
      <c r="F4" s="14"/>
      <c r="G4" s="14"/>
      <c r="H4" s="14"/>
    </row>
    <row r="5" spans="1:8" ht="45" customHeight="1" x14ac:dyDescent="0.2">
      <c r="A5" s="2" t="s">
        <v>5</v>
      </c>
      <c r="B5" s="13" t="s">
        <v>133</v>
      </c>
      <c r="C5" s="14"/>
      <c r="D5" s="14"/>
      <c r="E5" s="14"/>
      <c r="F5" s="14"/>
      <c r="G5" s="14"/>
      <c r="H5" s="14"/>
    </row>
    <row r="6" spans="1:8" ht="45" customHeight="1" x14ac:dyDescent="0.2">
      <c r="A6" s="2" t="s">
        <v>6</v>
      </c>
      <c r="B6" s="13" t="s">
        <v>131</v>
      </c>
      <c r="C6" s="14"/>
      <c r="D6" s="14"/>
      <c r="E6" s="14"/>
      <c r="F6" s="14"/>
      <c r="G6" s="14"/>
      <c r="H6" s="14"/>
    </row>
    <row r="7" spans="1:8" ht="45" customHeight="1" x14ac:dyDescent="0.2">
      <c r="A7" s="2" t="s">
        <v>7</v>
      </c>
      <c r="B7" s="3"/>
      <c r="C7" s="4"/>
      <c r="D7" s="4"/>
      <c r="E7" s="4"/>
      <c r="F7" s="4"/>
      <c r="G7" s="4"/>
      <c r="H7" s="4"/>
    </row>
    <row r="8" spans="1:8" ht="45" customHeight="1" x14ac:dyDescent="0.2">
      <c r="A8" s="2" t="s">
        <v>8</v>
      </c>
      <c r="B8" s="13" t="s">
        <v>129</v>
      </c>
      <c r="C8" s="14"/>
      <c r="D8" s="14"/>
      <c r="E8" s="14"/>
      <c r="F8" s="14"/>
      <c r="G8" s="14"/>
      <c r="H8" s="14"/>
    </row>
    <row r="9" spans="1:8" ht="45" customHeight="1" x14ac:dyDescent="0.2">
      <c r="A9" s="2" t="s">
        <v>9</v>
      </c>
      <c r="B9" s="13"/>
      <c r="C9" s="14"/>
      <c r="D9" s="14"/>
      <c r="E9" s="14"/>
      <c r="F9" s="14"/>
      <c r="G9" s="14"/>
      <c r="H9" s="14"/>
    </row>
    <row r="10" spans="1:8" ht="45" customHeight="1" x14ac:dyDescent="0.2">
      <c r="A10" s="2" t="s">
        <v>10</v>
      </c>
      <c r="B10" s="13" t="s">
        <v>130</v>
      </c>
      <c r="C10" s="14"/>
      <c r="D10" s="14"/>
      <c r="E10" s="14"/>
      <c r="F10" s="14"/>
      <c r="G10" s="14"/>
      <c r="H10" s="14"/>
    </row>
    <row r="11" spans="1:8" ht="45" customHeight="1" x14ac:dyDescent="0.2">
      <c r="A11" s="2" t="s">
        <v>11</v>
      </c>
      <c r="B11" s="13"/>
      <c r="C11" s="14"/>
      <c r="D11" s="14"/>
      <c r="E11" s="14"/>
      <c r="F11" s="14"/>
      <c r="G11" s="14"/>
      <c r="H11" s="14"/>
    </row>
    <row r="12" spans="1:8" ht="45" customHeight="1" x14ac:dyDescent="0.2">
      <c r="A12" s="2" t="s">
        <v>12</v>
      </c>
      <c r="B12" s="13" t="s">
        <v>132</v>
      </c>
      <c r="C12" s="14"/>
      <c r="D12" s="14"/>
      <c r="E12" s="14"/>
      <c r="F12" s="14"/>
      <c r="G12" s="14"/>
      <c r="H12" s="14"/>
    </row>
    <row r="13" spans="1:8" ht="45" customHeight="1" x14ac:dyDescent="0.2">
      <c r="A13" s="2" t="s">
        <v>13</v>
      </c>
      <c r="B13" s="3"/>
      <c r="C13" s="4"/>
      <c r="D13" s="4"/>
      <c r="E13" s="4"/>
      <c r="F13" s="4"/>
      <c r="G13" s="4"/>
      <c r="H13" s="4"/>
    </row>
    <row r="14" spans="1:8" ht="45" customHeight="1" x14ac:dyDescent="0.2">
      <c r="A14" s="2" t="s">
        <v>14</v>
      </c>
      <c r="B14" s="13"/>
      <c r="C14" s="14"/>
      <c r="D14" s="14"/>
      <c r="E14" s="14"/>
      <c r="F14" s="14"/>
      <c r="G14" s="14"/>
      <c r="H14" s="14"/>
    </row>
    <row r="15" spans="1:8" ht="45" customHeight="1" x14ac:dyDescent="0.2">
      <c r="A15" s="2" t="s">
        <v>15</v>
      </c>
      <c r="B15" s="13"/>
      <c r="C15" s="14"/>
      <c r="D15" s="14"/>
      <c r="E15" s="14"/>
      <c r="F15" s="14"/>
      <c r="G15" s="14"/>
      <c r="H15" s="14"/>
    </row>
  </sheetData>
  <mergeCells count="13">
    <mergeCell ref="B12:H12"/>
    <mergeCell ref="B6:H6"/>
    <mergeCell ref="B15:H15"/>
    <mergeCell ref="B8:H8"/>
    <mergeCell ref="B14:H14"/>
    <mergeCell ref="B9:H9"/>
    <mergeCell ref="A1:H1"/>
    <mergeCell ref="B10:H10"/>
    <mergeCell ref="B3:H3"/>
    <mergeCell ref="B5:H5"/>
    <mergeCell ref="B11:H11"/>
    <mergeCell ref="A2:H2"/>
    <mergeCell ref="B4:H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"/>
  <sheetViews>
    <sheetView showGridLines="0" workbookViewId="0">
      <pane ySplit="4" topLeftCell="A5" activePane="bottomLeft" state="frozen"/>
      <selection pane="bottomLeft" activeCell="E23" sqref="E23"/>
    </sheetView>
  </sheetViews>
  <sheetFormatPr baseColWidth="10" defaultColWidth="8.83203125" defaultRowHeight="15" x14ac:dyDescent="0.2"/>
  <cols>
    <col min="1" max="1" width="10" customWidth="1"/>
    <col min="2" max="2" width="26" customWidth="1"/>
    <col min="3" max="3" width="36" customWidth="1"/>
    <col min="4" max="4" width="14" customWidth="1"/>
    <col min="5" max="6" width="12" customWidth="1"/>
    <col min="7" max="7" width="14" customWidth="1"/>
    <col min="8" max="8" width="16" customWidth="1"/>
    <col min="9" max="9" width="12" customWidth="1"/>
    <col min="10" max="10" width="24" customWidth="1"/>
  </cols>
  <sheetData>
    <row r="1" spans="1:10" ht="21" x14ac:dyDescent="0.25">
      <c r="A1" s="17" t="s">
        <v>16</v>
      </c>
      <c r="B1" s="12"/>
      <c r="C1" s="12"/>
      <c r="D1" s="12"/>
      <c r="E1" s="12"/>
      <c r="F1" s="12"/>
      <c r="G1" s="12"/>
      <c r="H1" s="12"/>
      <c r="I1" s="12"/>
      <c r="J1" s="12"/>
    </row>
    <row r="2" spans="1:10" x14ac:dyDescent="0.2">
      <c r="A2" s="16" t="s">
        <v>17</v>
      </c>
      <c r="B2" s="12"/>
      <c r="C2" s="12"/>
      <c r="D2" s="12"/>
      <c r="E2" s="12"/>
      <c r="F2" s="12"/>
      <c r="G2" s="12"/>
      <c r="H2" s="12"/>
      <c r="I2" s="12"/>
      <c r="J2" s="12"/>
    </row>
    <row r="4" spans="1:10" x14ac:dyDescent="0.2">
      <c r="A4" s="1" t="s">
        <v>18</v>
      </c>
      <c r="B4" s="1" t="s">
        <v>19</v>
      </c>
      <c r="C4" s="1" t="s">
        <v>20</v>
      </c>
      <c r="D4" s="1" t="s">
        <v>21</v>
      </c>
      <c r="E4" s="1" t="s">
        <v>22</v>
      </c>
      <c r="F4" s="1" t="s">
        <v>23</v>
      </c>
      <c r="G4" s="1" t="s">
        <v>24</v>
      </c>
      <c r="H4" s="1" t="s">
        <v>25</v>
      </c>
      <c r="I4" s="1" t="s">
        <v>26</v>
      </c>
      <c r="J4" s="1" t="s">
        <v>3</v>
      </c>
    </row>
    <row r="5" spans="1:10" ht="42" customHeight="1" x14ac:dyDescent="0.2">
      <c r="A5" s="5" t="s">
        <v>27</v>
      </c>
      <c r="B5" s="5" t="s">
        <v>28</v>
      </c>
      <c r="C5" s="5" t="s">
        <v>29</v>
      </c>
      <c r="D5" s="5" t="s">
        <v>30</v>
      </c>
      <c r="E5" s="10" t="s">
        <v>134</v>
      </c>
      <c r="F5" s="10" t="s">
        <v>134</v>
      </c>
      <c r="G5" s="5">
        <v>15</v>
      </c>
      <c r="H5" s="5" t="s">
        <v>31</v>
      </c>
      <c r="I5" s="5"/>
      <c r="J5" s="5" t="s">
        <v>32</v>
      </c>
    </row>
    <row r="6" spans="1:10" ht="42" customHeight="1" x14ac:dyDescent="0.2">
      <c r="A6" s="5" t="s">
        <v>33</v>
      </c>
      <c r="B6" s="5" t="s">
        <v>34</v>
      </c>
      <c r="C6" s="5" t="s">
        <v>35</v>
      </c>
      <c r="D6" s="5" t="s">
        <v>36</v>
      </c>
      <c r="E6" s="10" t="s">
        <v>134</v>
      </c>
      <c r="F6" s="10" t="s">
        <v>135</v>
      </c>
      <c r="G6" s="5">
        <v>60</v>
      </c>
      <c r="H6" s="5" t="s">
        <v>31</v>
      </c>
      <c r="I6" s="5" t="s">
        <v>27</v>
      </c>
      <c r="J6" s="5"/>
    </row>
    <row r="7" spans="1:10" ht="42" customHeight="1" x14ac:dyDescent="0.2">
      <c r="A7" s="5" t="s">
        <v>37</v>
      </c>
      <c r="B7" s="5" t="s">
        <v>38</v>
      </c>
      <c r="C7" s="5" t="s">
        <v>39</v>
      </c>
      <c r="D7" s="5" t="s">
        <v>36</v>
      </c>
      <c r="E7" s="10" t="s">
        <v>134</v>
      </c>
      <c r="F7" s="10" t="s">
        <v>135</v>
      </c>
      <c r="G7" s="5">
        <v>90</v>
      </c>
      <c r="H7" s="5" t="s">
        <v>31</v>
      </c>
      <c r="I7" s="5" t="s">
        <v>33</v>
      </c>
      <c r="J7" s="5" t="s">
        <v>40</v>
      </c>
    </row>
    <row r="8" spans="1:10" ht="42" customHeight="1" x14ac:dyDescent="0.2">
      <c r="A8" s="5" t="s">
        <v>41</v>
      </c>
      <c r="B8" s="5" t="s">
        <v>42</v>
      </c>
      <c r="C8" s="5" t="s">
        <v>43</v>
      </c>
      <c r="D8" s="5" t="s">
        <v>36</v>
      </c>
      <c r="E8" s="10" t="s">
        <v>134</v>
      </c>
      <c r="F8" s="10" t="s">
        <v>135</v>
      </c>
      <c r="G8" s="5">
        <v>90</v>
      </c>
      <c r="H8" s="5" t="s">
        <v>31</v>
      </c>
      <c r="I8" s="5" t="s">
        <v>37</v>
      </c>
      <c r="J8" s="5"/>
    </row>
    <row r="9" spans="1:10" ht="42" customHeight="1" x14ac:dyDescent="0.2">
      <c r="A9" s="5" t="s">
        <v>44</v>
      </c>
      <c r="B9" s="5" t="s">
        <v>45</v>
      </c>
      <c r="C9" s="5" t="s">
        <v>46</v>
      </c>
      <c r="D9" s="5" t="s">
        <v>36</v>
      </c>
      <c r="E9" s="10" t="s">
        <v>135</v>
      </c>
      <c r="F9" s="10" t="s">
        <v>136</v>
      </c>
      <c r="G9" s="5">
        <v>90</v>
      </c>
      <c r="H9" s="5" t="s">
        <v>31</v>
      </c>
      <c r="I9" s="5" t="s">
        <v>33</v>
      </c>
      <c r="J9" s="5"/>
    </row>
    <row r="10" spans="1:10" ht="42" customHeight="1" x14ac:dyDescent="0.2">
      <c r="A10" s="5" t="s">
        <v>47</v>
      </c>
      <c r="B10" s="5" t="s">
        <v>48</v>
      </c>
      <c r="C10" s="5" t="s">
        <v>49</v>
      </c>
      <c r="D10" s="5" t="s">
        <v>36</v>
      </c>
      <c r="E10" s="10" t="s">
        <v>135</v>
      </c>
      <c r="F10" s="10" t="s">
        <v>136</v>
      </c>
      <c r="G10" s="5">
        <v>90</v>
      </c>
      <c r="H10" s="5" t="s">
        <v>31</v>
      </c>
      <c r="I10" s="5" t="s">
        <v>33</v>
      </c>
      <c r="J10" s="5"/>
    </row>
    <row r="11" spans="1:10" ht="42" customHeight="1" x14ac:dyDescent="0.2">
      <c r="A11" s="5" t="s">
        <v>50</v>
      </c>
      <c r="B11" s="5" t="s">
        <v>51</v>
      </c>
      <c r="C11" s="5" t="s">
        <v>52</v>
      </c>
      <c r="D11" s="5" t="s">
        <v>36</v>
      </c>
      <c r="E11" s="10" t="s">
        <v>135</v>
      </c>
      <c r="F11" s="10" t="s">
        <v>136</v>
      </c>
      <c r="G11" s="5">
        <v>90</v>
      </c>
      <c r="H11" s="5" t="s">
        <v>31</v>
      </c>
      <c r="I11" s="5" t="s">
        <v>44</v>
      </c>
      <c r="J11" s="5"/>
    </row>
    <row r="12" spans="1:10" ht="42" customHeight="1" x14ac:dyDescent="0.2">
      <c r="A12" s="5" t="s">
        <v>53</v>
      </c>
      <c r="B12" s="5" t="s">
        <v>54</v>
      </c>
      <c r="C12" s="5" t="s">
        <v>55</v>
      </c>
      <c r="D12" s="5" t="s">
        <v>36</v>
      </c>
      <c r="E12" s="10" t="s">
        <v>135</v>
      </c>
      <c r="F12" s="10" t="s">
        <v>136</v>
      </c>
      <c r="G12" s="5">
        <v>90</v>
      </c>
      <c r="H12" s="5" t="s">
        <v>31</v>
      </c>
      <c r="I12" s="5" t="s">
        <v>27</v>
      </c>
      <c r="J12" s="5"/>
    </row>
    <row r="13" spans="1:10" ht="42" customHeight="1" x14ac:dyDescent="0.2">
      <c r="A13" s="5" t="s">
        <v>56</v>
      </c>
      <c r="B13" s="5" t="s">
        <v>57</v>
      </c>
      <c r="C13" s="5" t="s">
        <v>58</v>
      </c>
      <c r="D13" s="5" t="s">
        <v>36</v>
      </c>
      <c r="E13" s="10" t="s">
        <v>136</v>
      </c>
      <c r="F13" s="10" t="s">
        <v>136</v>
      </c>
      <c r="G13" s="5">
        <v>90</v>
      </c>
      <c r="H13" s="5" t="s">
        <v>31</v>
      </c>
      <c r="I13" s="5" t="s">
        <v>44</v>
      </c>
      <c r="J13" s="5"/>
    </row>
    <row r="14" spans="1:10" ht="42" customHeight="1" x14ac:dyDescent="0.2">
      <c r="A14" s="5" t="s">
        <v>59</v>
      </c>
      <c r="B14" s="5" t="s">
        <v>60</v>
      </c>
      <c r="C14" s="5" t="s">
        <v>61</v>
      </c>
      <c r="D14" s="5" t="s">
        <v>36</v>
      </c>
      <c r="E14" s="10" t="s">
        <v>136</v>
      </c>
      <c r="F14" s="10" t="s">
        <v>137</v>
      </c>
      <c r="G14" s="5">
        <v>120</v>
      </c>
      <c r="H14" s="5" t="s">
        <v>31</v>
      </c>
      <c r="I14" s="5" t="s">
        <v>33</v>
      </c>
      <c r="J14" s="5"/>
    </row>
    <row r="15" spans="1:10" ht="42" customHeight="1" x14ac:dyDescent="0.2">
      <c r="A15" s="5" t="s">
        <v>62</v>
      </c>
      <c r="B15" s="5" t="s">
        <v>63</v>
      </c>
      <c r="C15" s="5" t="s">
        <v>64</v>
      </c>
      <c r="D15" s="5" t="s">
        <v>36</v>
      </c>
      <c r="E15" s="10" t="s">
        <v>136</v>
      </c>
      <c r="F15" s="10" t="s">
        <v>137</v>
      </c>
      <c r="G15" s="5">
        <v>120</v>
      </c>
      <c r="H15" s="5" t="s">
        <v>31</v>
      </c>
      <c r="I15" s="5" t="s">
        <v>37</v>
      </c>
      <c r="J15" s="5"/>
    </row>
    <row r="16" spans="1:10" ht="42" customHeight="1" x14ac:dyDescent="0.2">
      <c r="A16" s="5" t="s">
        <v>65</v>
      </c>
      <c r="B16" s="5" t="s">
        <v>66</v>
      </c>
      <c r="C16" s="5" t="s">
        <v>67</v>
      </c>
      <c r="D16" s="5" t="s">
        <v>36</v>
      </c>
      <c r="E16" s="10" t="s">
        <v>134</v>
      </c>
      <c r="F16" s="10" t="s">
        <v>137</v>
      </c>
      <c r="G16" s="5">
        <v>180</v>
      </c>
      <c r="H16" s="5" t="s">
        <v>31</v>
      </c>
      <c r="I16" s="5" t="s">
        <v>27</v>
      </c>
      <c r="J16" s="5" t="s">
        <v>68</v>
      </c>
    </row>
  </sheetData>
  <mergeCells count="2">
    <mergeCell ref="A1:J1"/>
    <mergeCell ref="A2:J2"/>
  </mergeCells>
  <conditionalFormatting sqref="E5:F16">
    <cfRule type="expression" dxfId="31" priority="1">
      <formula>$F5="Done"</formula>
    </cfRule>
    <cfRule type="expression" dxfId="30" priority="2">
      <formula>$F5="Blocked"</formula>
    </cfRule>
    <cfRule type="expression" dxfId="29" priority="3">
      <formula>$F5="In progress"</formula>
    </cfRule>
  </conditionalFormatting>
  <dataValidations count="1">
    <dataValidation type="list" allowBlank="1" sqref="H5:H17" xr:uid="{00000000-0002-0000-0100-000000000000}">
      <formula1>"Not started,In progress,Blocked,Ready for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6"/>
  <sheetViews>
    <sheetView showGridLines="0" workbookViewId="0">
      <pane ySplit="4" topLeftCell="A5" activePane="bottomLeft" state="frozen"/>
      <selection pane="bottomLeft" activeCell="D5" sqref="D5:E16"/>
    </sheetView>
  </sheetViews>
  <sheetFormatPr baseColWidth="10" defaultColWidth="8.83203125" defaultRowHeight="15" x14ac:dyDescent="0.2"/>
  <cols>
    <col min="1" max="1" width="10" customWidth="1"/>
    <col min="2" max="2" width="26" customWidth="1"/>
    <col min="3" max="3" width="14" customWidth="1"/>
    <col min="4" max="5" width="12" customWidth="1"/>
    <col min="6" max="6" width="14" customWidth="1"/>
    <col min="7" max="32" width="4.1640625" customWidth="1"/>
  </cols>
  <sheetData>
    <row r="1" spans="1:41" ht="21" x14ac:dyDescent="0.25">
      <c r="A1" s="17" t="s">
        <v>69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</row>
    <row r="2" spans="1:41" x14ac:dyDescent="0.2">
      <c r="A2" s="16" t="s">
        <v>70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</row>
    <row r="4" spans="1:41" x14ac:dyDescent="0.2">
      <c r="A4" s="1" t="s">
        <v>18</v>
      </c>
      <c r="B4" s="1" t="s">
        <v>19</v>
      </c>
      <c r="C4" s="1" t="s">
        <v>21</v>
      </c>
      <c r="D4" s="1" t="s">
        <v>22</v>
      </c>
      <c r="E4" s="1" t="s">
        <v>23</v>
      </c>
      <c r="F4" s="1" t="s">
        <v>25</v>
      </c>
      <c r="G4" s="7">
        <v>46045</v>
      </c>
      <c r="H4" s="7">
        <v>46052</v>
      </c>
      <c r="I4" s="7">
        <v>46059</v>
      </c>
      <c r="J4" s="7">
        <v>46066</v>
      </c>
      <c r="K4" s="7">
        <v>46073</v>
      </c>
      <c r="L4" s="7">
        <v>46080</v>
      </c>
      <c r="M4" s="7">
        <v>46087</v>
      </c>
      <c r="N4" s="7">
        <v>46094</v>
      </c>
      <c r="O4" s="7">
        <v>46101</v>
      </c>
      <c r="P4" s="7">
        <v>46108</v>
      </c>
      <c r="Q4" s="7">
        <v>46115</v>
      </c>
      <c r="R4" s="7">
        <v>46122</v>
      </c>
      <c r="S4" s="7">
        <v>46129</v>
      </c>
      <c r="T4" s="7">
        <v>46136</v>
      </c>
      <c r="U4" s="7">
        <v>46143</v>
      </c>
      <c r="V4" s="7">
        <v>46150</v>
      </c>
      <c r="W4" s="7">
        <v>46157</v>
      </c>
      <c r="X4" s="7">
        <v>46164</v>
      </c>
      <c r="Y4" s="7">
        <v>46171</v>
      </c>
      <c r="Z4" s="7">
        <v>46178</v>
      </c>
      <c r="AA4" s="7">
        <v>46185</v>
      </c>
      <c r="AB4" s="7">
        <v>46192</v>
      </c>
      <c r="AC4" s="7">
        <v>46199</v>
      </c>
      <c r="AD4" s="7">
        <v>46206</v>
      </c>
      <c r="AE4" s="7">
        <v>46213</v>
      </c>
      <c r="AF4" s="7">
        <v>46220</v>
      </c>
    </row>
    <row r="5" spans="1:41" ht="16" x14ac:dyDescent="0.2">
      <c r="A5" s="5" t="str">
        <f>'02_Roadmap'!A5</f>
        <v>E01</v>
      </c>
      <c r="B5" s="5" t="str">
        <f>'02_Roadmap'!B5</f>
        <v>Foundation &amp; governance</v>
      </c>
      <c r="C5" s="5" t="str">
        <f>'02_Roadmap'!D5</f>
        <v>You</v>
      </c>
      <c r="D5" s="10" t="s">
        <v>134</v>
      </c>
      <c r="E5" s="10" t="s">
        <v>134</v>
      </c>
      <c r="F5" s="5" t="str">
        <f>'02_Roadmap'!H5</f>
        <v>Not started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 spans="1:41" ht="16" x14ac:dyDescent="0.2">
      <c r="A6" s="5" t="str">
        <f>'02_Roadmap'!A6</f>
        <v>E02</v>
      </c>
      <c r="B6" s="5" t="str">
        <f>'02_Roadmap'!B6</f>
        <v>Databases core</v>
      </c>
      <c r="C6" s="5" t="str">
        <f>'02_Roadmap'!D6</f>
        <v>TBD</v>
      </c>
      <c r="D6" s="10" t="s">
        <v>134</v>
      </c>
      <c r="E6" s="10" t="s">
        <v>135</v>
      </c>
      <c r="F6" s="5" t="str">
        <f>'02_Roadmap'!H6</f>
        <v>Not started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</row>
    <row r="7" spans="1:41" ht="16" x14ac:dyDescent="0.2">
      <c r="A7" s="5" t="str">
        <f>'02_Roadmap'!A7</f>
        <v>E03</v>
      </c>
      <c r="B7" s="5" t="str">
        <f>'02_Roadmap'!B7</f>
        <v>Feature system</v>
      </c>
      <c r="C7" s="5" t="str">
        <f>'02_Roadmap'!D7</f>
        <v>TBD</v>
      </c>
      <c r="D7" s="10" t="s">
        <v>134</v>
      </c>
      <c r="E7" s="10" t="s">
        <v>135</v>
      </c>
      <c r="F7" s="5" t="str">
        <f>'02_Roadmap'!H7</f>
        <v>Not started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spans="1:41" ht="16" x14ac:dyDescent="0.2">
      <c r="A8" s="5" t="str">
        <f>'02_Roadmap'!A8</f>
        <v>E04</v>
      </c>
      <c r="B8" s="5" t="str">
        <f>'02_Roadmap'!B8</f>
        <v>ML &amp; MLOps</v>
      </c>
      <c r="C8" s="5" t="str">
        <f>'02_Roadmap'!D8</f>
        <v>TBD</v>
      </c>
      <c r="D8" s="10" t="s">
        <v>134</v>
      </c>
      <c r="E8" s="10" t="s">
        <v>135</v>
      </c>
      <c r="F8" s="5" t="str">
        <f>'02_Roadmap'!H8</f>
        <v>Not started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 spans="1:41" ht="16" x14ac:dyDescent="0.2">
      <c r="A9" s="5" t="str">
        <f>'02_Roadmap'!A9</f>
        <v>E05</v>
      </c>
      <c r="B9" s="5" t="str">
        <f>'02_Roadmap'!B9</f>
        <v>Trading engines</v>
      </c>
      <c r="C9" s="5" t="str">
        <f>'02_Roadmap'!D9</f>
        <v>TBD</v>
      </c>
      <c r="D9" s="10" t="s">
        <v>135</v>
      </c>
      <c r="E9" s="10" t="s">
        <v>136</v>
      </c>
      <c r="F9" s="5" t="str">
        <f>'02_Roadmap'!H9</f>
        <v>Not started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</row>
    <row r="10" spans="1:41" ht="16" x14ac:dyDescent="0.2">
      <c r="A10" s="5" t="str">
        <f>'02_Roadmap'!A10</f>
        <v>E06</v>
      </c>
      <c r="B10" s="5" t="str">
        <f>'02_Roadmap'!B10</f>
        <v>Pulse &amp; triggers</v>
      </c>
      <c r="C10" s="5" t="str">
        <f>'02_Roadmap'!D10</f>
        <v>TBD</v>
      </c>
      <c r="D10" s="10" t="s">
        <v>135</v>
      </c>
      <c r="E10" s="10" t="s">
        <v>136</v>
      </c>
      <c r="F10" s="5" t="str">
        <f>'02_Roadmap'!H10</f>
        <v>Not started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spans="1:41" ht="16" x14ac:dyDescent="0.2">
      <c r="A11" s="5" t="str">
        <f>'02_Roadmap'!A11</f>
        <v>E07</v>
      </c>
      <c r="B11" s="5" t="str">
        <f>'02_Roadmap'!B11</f>
        <v>Strategy library</v>
      </c>
      <c r="C11" s="5" t="str">
        <f>'02_Roadmap'!D11</f>
        <v>TBD</v>
      </c>
      <c r="D11" s="10" t="s">
        <v>135</v>
      </c>
      <c r="E11" s="10" t="s">
        <v>136</v>
      </c>
      <c r="F11" s="5" t="str">
        <f>'02_Roadmap'!H11</f>
        <v>Not started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spans="1:41" ht="16" x14ac:dyDescent="0.2">
      <c r="A12" s="5" t="str">
        <f>'02_Roadmap'!A12</f>
        <v>E08</v>
      </c>
      <c r="B12" s="5" t="str">
        <f>'02_Roadmap'!B12</f>
        <v>GUI Glass Cockpit</v>
      </c>
      <c r="C12" s="5" t="str">
        <f>'02_Roadmap'!D12</f>
        <v>TBD</v>
      </c>
      <c r="D12" s="10" t="s">
        <v>135</v>
      </c>
      <c r="E12" s="10" t="s">
        <v>136</v>
      </c>
      <c r="F12" s="5" t="str">
        <f>'02_Roadmap'!H12</f>
        <v>Not started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</row>
    <row r="13" spans="1:41" ht="16" x14ac:dyDescent="0.2">
      <c r="A13" s="5" t="str">
        <f>'02_Roadmap'!A13</f>
        <v>E09</v>
      </c>
      <c r="B13" s="5" t="str">
        <f>'02_Roadmap'!B13</f>
        <v>AWACS admin</v>
      </c>
      <c r="C13" s="5" t="str">
        <f>'02_Roadmap'!D13</f>
        <v>TBD</v>
      </c>
      <c r="D13" s="10" t="s">
        <v>136</v>
      </c>
      <c r="E13" s="10" t="s">
        <v>136</v>
      </c>
      <c r="F13" s="5" t="str">
        <f>'02_Roadmap'!H13</f>
        <v>Not started</v>
      </c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 spans="1:41" ht="16" x14ac:dyDescent="0.2">
      <c r="A14" s="5" t="str">
        <f>'02_Roadmap'!A14</f>
        <v>E10</v>
      </c>
      <c r="B14" s="5" t="str">
        <f>'02_Roadmap'!B14</f>
        <v>BI / Reporting / Recon</v>
      </c>
      <c r="C14" s="5" t="str">
        <f>'02_Roadmap'!D14</f>
        <v>TBD</v>
      </c>
      <c r="D14" s="10" t="s">
        <v>136</v>
      </c>
      <c r="E14" s="10" t="s">
        <v>137</v>
      </c>
      <c r="F14" s="5" t="str">
        <f>'02_Roadmap'!H14</f>
        <v>Not started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41" ht="16" x14ac:dyDescent="0.2">
      <c r="A15" s="5" t="str">
        <f>'02_Roadmap'!A15</f>
        <v>E11</v>
      </c>
      <c r="B15" s="5" t="str">
        <f>'02_Roadmap'!B15</f>
        <v>Simulation &amp; backtesting</v>
      </c>
      <c r="C15" s="5" t="str">
        <f>'02_Roadmap'!D15</f>
        <v>TBD</v>
      </c>
      <c r="D15" s="10" t="s">
        <v>136</v>
      </c>
      <c r="E15" s="10" t="s">
        <v>137</v>
      </c>
      <c r="F15" s="5" t="str">
        <f>'02_Roadmap'!H15</f>
        <v>Not started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 spans="1:41" ht="16" x14ac:dyDescent="0.2">
      <c r="A16" s="5" t="str">
        <f>'02_Roadmap'!A16</f>
        <v>E12</v>
      </c>
      <c r="B16" s="5" t="str">
        <f>'02_Roadmap'!B16</f>
        <v>IT Infrastructure</v>
      </c>
      <c r="C16" s="5" t="str">
        <f>'02_Roadmap'!D16</f>
        <v>TBD</v>
      </c>
      <c r="D16" s="10" t="s">
        <v>134</v>
      </c>
      <c r="E16" s="10" t="s">
        <v>137</v>
      </c>
      <c r="F16" s="5" t="str">
        <f>'02_Roadmap'!H16</f>
        <v>Not started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</sheetData>
  <mergeCells count="2">
    <mergeCell ref="A2:AO2"/>
    <mergeCell ref="A1:AO1"/>
  </mergeCells>
  <conditionalFormatting sqref="A5:F16">
    <cfRule type="expression" dxfId="28" priority="29">
      <formula>$F5="In progress"</formula>
    </cfRule>
    <cfRule type="expression" dxfId="27" priority="28">
      <formula>$F5="Blocked"</formula>
    </cfRule>
    <cfRule type="expression" dxfId="26" priority="27">
      <formula>$F5="Done"</formula>
    </cfRule>
  </conditionalFormatting>
  <conditionalFormatting sqref="G5:G16">
    <cfRule type="expression" dxfId="25" priority="1">
      <formula>AND($G$4&gt;=$D5,$G$4&lt;=$E5)</formula>
    </cfRule>
  </conditionalFormatting>
  <conditionalFormatting sqref="H5:H16">
    <cfRule type="expression" dxfId="24" priority="2">
      <formula>AND($H$4&gt;=$D5,$H$4&lt;=$E5)</formula>
    </cfRule>
  </conditionalFormatting>
  <conditionalFormatting sqref="I5:I16">
    <cfRule type="expression" dxfId="23" priority="3">
      <formula>AND($I$4&gt;=$D5,$I$4&lt;=$E5)</formula>
    </cfRule>
  </conditionalFormatting>
  <conditionalFormatting sqref="J5:J16">
    <cfRule type="expression" dxfId="22" priority="4">
      <formula>AND($J$4&gt;=$D5,$J$4&lt;=$E5)</formula>
    </cfRule>
  </conditionalFormatting>
  <conditionalFormatting sqref="K5:K16">
    <cfRule type="expression" dxfId="21" priority="5">
      <formula>AND($K$4&gt;=$D5,$K$4&lt;=$E5)</formula>
    </cfRule>
  </conditionalFormatting>
  <conditionalFormatting sqref="L5:L16">
    <cfRule type="expression" dxfId="20" priority="6">
      <formula>AND($L$4&gt;=$D5,$L$4&lt;=$E5)</formula>
    </cfRule>
  </conditionalFormatting>
  <conditionalFormatting sqref="M5:M16">
    <cfRule type="expression" dxfId="19" priority="7">
      <formula>AND($M$4&gt;=$D5,$M$4&lt;=$E5)</formula>
    </cfRule>
  </conditionalFormatting>
  <conditionalFormatting sqref="N5:N16">
    <cfRule type="expression" dxfId="18" priority="8">
      <formula>AND($N$4&gt;=$D5,$N$4&lt;=$E5)</formula>
    </cfRule>
  </conditionalFormatting>
  <conditionalFormatting sqref="O5:O16">
    <cfRule type="expression" dxfId="17" priority="9">
      <formula>AND($O$4&gt;=$D5,$O$4&lt;=$E5)</formula>
    </cfRule>
  </conditionalFormatting>
  <conditionalFormatting sqref="P5:P16">
    <cfRule type="expression" dxfId="16" priority="10">
      <formula>AND($P$4&gt;=$D5,$P$4&lt;=$E5)</formula>
    </cfRule>
  </conditionalFormatting>
  <conditionalFormatting sqref="Q5:Q16">
    <cfRule type="expression" dxfId="15" priority="11">
      <formula>AND($Q$4&gt;=$D5,$Q$4&lt;=$E5)</formula>
    </cfRule>
  </conditionalFormatting>
  <conditionalFormatting sqref="R5:R16">
    <cfRule type="expression" dxfId="14" priority="12">
      <formula>AND($R$4&gt;=$D5,$R$4&lt;=$E5)</formula>
    </cfRule>
  </conditionalFormatting>
  <conditionalFormatting sqref="S5:S16">
    <cfRule type="expression" dxfId="13" priority="13">
      <formula>AND($S$4&gt;=$D5,$S$4&lt;=$E5)</formula>
    </cfRule>
  </conditionalFormatting>
  <conditionalFormatting sqref="T5:T16">
    <cfRule type="expression" dxfId="12" priority="14">
      <formula>AND($T$4&gt;=$D5,$T$4&lt;=$E5)</formula>
    </cfRule>
  </conditionalFormatting>
  <conditionalFormatting sqref="U5:U16">
    <cfRule type="expression" dxfId="11" priority="15">
      <formula>AND($U$4&gt;=$D5,$U$4&lt;=$E5)</formula>
    </cfRule>
  </conditionalFormatting>
  <conditionalFormatting sqref="V5:V16">
    <cfRule type="expression" dxfId="10" priority="16">
      <formula>AND($V$4&gt;=$D5,$V$4&lt;=$E5)</formula>
    </cfRule>
  </conditionalFormatting>
  <conditionalFormatting sqref="W5:W16">
    <cfRule type="expression" dxfId="9" priority="17">
      <formula>AND($W$4&gt;=$D5,$W$4&lt;=$E5)</formula>
    </cfRule>
  </conditionalFormatting>
  <conditionalFormatting sqref="X5:X16">
    <cfRule type="expression" dxfId="8" priority="18">
      <formula>AND($X$4&gt;=$D5,$X$4&lt;=$E5)</formula>
    </cfRule>
  </conditionalFormatting>
  <conditionalFormatting sqref="Y5:Y16">
    <cfRule type="expression" dxfId="7" priority="19">
      <formula>AND($Y$4&gt;=$D5,$Y$4&lt;=$E5)</formula>
    </cfRule>
  </conditionalFormatting>
  <conditionalFormatting sqref="Z5:Z16">
    <cfRule type="expression" dxfId="6" priority="20">
      <formula>AND($Z$4&gt;=$D5,$Z$4&lt;=$E5)</formula>
    </cfRule>
  </conditionalFormatting>
  <conditionalFormatting sqref="AA5:AA16">
    <cfRule type="expression" dxfId="5" priority="21">
      <formula>AND($AA$4&gt;=$D5,$AA$4&lt;=$E5)</formula>
    </cfRule>
  </conditionalFormatting>
  <conditionalFormatting sqref="AB5:AB16">
    <cfRule type="expression" dxfId="4" priority="22">
      <formula>AND($AB$4&gt;=$D5,$AB$4&lt;=$E5)</formula>
    </cfRule>
  </conditionalFormatting>
  <conditionalFormatting sqref="AC5:AC16">
    <cfRule type="expression" dxfId="3" priority="23">
      <formula>AND($AC$4&gt;=$D5,$AC$4&lt;=$E5)</formula>
    </cfRule>
  </conditionalFormatting>
  <conditionalFormatting sqref="AD5:AD16">
    <cfRule type="expression" dxfId="2" priority="24">
      <formula>AND($AD$4&gt;=$D5,$AD$4&lt;=$E5)</formula>
    </cfRule>
  </conditionalFormatting>
  <conditionalFormatting sqref="AE5:AE16">
    <cfRule type="expression" dxfId="1" priority="25">
      <formula>AND($AE$4&gt;=$D5,$AE$4&lt;=$E5)</formula>
    </cfRule>
  </conditionalFormatting>
  <conditionalFormatting sqref="AF5:AF16">
    <cfRule type="expression" dxfId="0" priority="26">
      <formula>AND($AF$4&gt;=$D5,$AF$4&lt;=$E5)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"/>
  <sheetViews>
    <sheetView showGridLines="0" workbookViewId="0">
      <pane ySplit="4" topLeftCell="A5" activePane="bottomLeft" state="frozen"/>
      <selection pane="bottomLeft" activeCell="E32" sqref="E32"/>
    </sheetView>
  </sheetViews>
  <sheetFormatPr baseColWidth="10" defaultColWidth="8.83203125" defaultRowHeight="15" x14ac:dyDescent="0.2"/>
  <cols>
    <col min="1" max="1" width="10" customWidth="1"/>
    <col min="2" max="2" width="6" customWidth="1"/>
    <col min="3" max="3" width="22" customWidth="1"/>
    <col min="4" max="4" width="10" customWidth="1"/>
    <col min="5" max="5" width="34" customWidth="1"/>
    <col min="6" max="6" width="6" customWidth="1"/>
    <col min="7" max="7" width="16" customWidth="1"/>
    <col min="8" max="11" width="12" customWidth="1"/>
    <col min="12" max="12" width="16" customWidth="1"/>
    <col min="13" max="13" width="26" customWidth="1"/>
    <col min="14" max="15" width="12" customWidth="1"/>
    <col min="16" max="16" width="22" customWidth="1"/>
  </cols>
  <sheetData>
    <row r="1" spans="1:16" ht="21" x14ac:dyDescent="0.25">
      <c r="A1" s="17" t="s">
        <v>71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x14ac:dyDescent="0.2">
      <c r="A2" s="16" t="s">
        <v>72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4" spans="1:16" x14ac:dyDescent="0.2">
      <c r="A4" s="1" t="s">
        <v>73</v>
      </c>
      <c r="B4" s="1" t="s">
        <v>19</v>
      </c>
      <c r="C4" s="1" t="s">
        <v>74</v>
      </c>
      <c r="D4" s="1" t="s">
        <v>75</v>
      </c>
      <c r="E4" s="1" t="s">
        <v>76</v>
      </c>
      <c r="F4" s="1" t="s">
        <v>77</v>
      </c>
      <c r="G4" s="1" t="s">
        <v>25</v>
      </c>
      <c r="H4" s="1" t="s">
        <v>21</v>
      </c>
      <c r="I4" s="1" t="s">
        <v>78</v>
      </c>
      <c r="J4" s="1" t="s">
        <v>22</v>
      </c>
      <c r="K4" s="1" t="s">
        <v>79</v>
      </c>
      <c r="L4" s="1" t="s">
        <v>80</v>
      </c>
      <c r="M4" s="1" t="s">
        <v>81</v>
      </c>
      <c r="N4" s="1" t="s">
        <v>82</v>
      </c>
      <c r="O4" s="1" t="s">
        <v>83</v>
      </c>
      <c r="P4" s="1" t="s">
        <v>84</v>
      </c>
    </row>
    <row r="5" spans="1:16" ht="36" customHeight="1" x14ac:dyDescent="0.2">
      <c r="A5" s="5" t="s">
        <v>85</v>
      </c>
      <c r="B5" s="5" t="s">
        <v>27</v>
      </c>
      <c r="C5" s="5" t="s">
        <v>86</v>
      </c>
      <c r="D5" s="5" t="s">
        <v>87</v>
      </c>
      <c r="E5" s="5" t="s">
        <v>88</v>
      </c>
      <c r="F5" s="5" t="s">
        <v>89</v>
      </c>
      <c r="G5" s="5" t="s">
        <v>90</v>
      </c>
      <c r="H5" s="5" t="s">
        <v>30</v>
      </c>
      <c r="I5" s="5">
        <v>6</v>
      </c>
      <c r="J5" s="6">
        <v>46045</v>
      </c>
      <c r="K5" s="6">
        <v>46048</v>
      </c>
      <c r="L5" s="5"/>
      <c r="M5" s="5" t="s">
        <v>91</v>
      </c>
      <c r="N5" s="6">
        <v>46045</v>
      </c>
      <c r="O5" s="6">
        <v>46045</v>
      </c>
      <c r="P5" s="5"/>
    </row>
    <row r="6" spans="1:16" ht="36" customHeight="1" x14ac:dyDescent="0.2">
      <c r="A6" s="5" t="s">
        <v>92</v>
      </c>
      <c r="B6" s="5" t="s">
        <v>33</v>
      </c>
      <c r="C6" s="5" t="s">
        <v>93</v>
      </c>
      <c r="D6" s="5" t="s">
        <v>19</v>
      </c>
      <c r="E6" s="5" t="s">
        <v>94</v>
      </c>
      <c r="F6" s="5" t="s">
        <v>89</v>
      </c>
      <c r="G6" s="5" t="s">
        <v>31</v>
      </c>
      <c r="H6" s="5" t="s">
        <v>36</v>
      </c>
      <c r="I6" s="5">
        <v>12</v>
      </c>
      <c r="J6" s="6">
        <v>46052</v>
      </c>
      <c r="K6" s="6">
        <v>46066</v>
      </c>
      <c r="L6" s="5" t="s">
        <v>85</v>
      </c>
      <c r="M6" s="5" t="s">
        <v>95</v>
      </c>
      <c r="N6" s="6">
        <v>46045</v>
      </c>
      <c r="O6" s="6">
        <v>46045</v>
      </c>
      <c r="P6" s="5"/>
    </row>
    <row r="7" spans="1:16" ht="36" customHeight="1" x14ac:dyDescent="0.2">
      <c r="A7" s="5" t="s">
        <v>96</v>
      </c>
      <c r="B7" s="5" t="s">
        <v>37</v>
      </c>
      <c r="C7" s="5" t="s">
        <v>97</v>
      </c>
      <c r="D7" s="5" t="s">
        <v>87</v>
      </c>
      <c r="E7" s="5" t="s">
        <v>98</v>
      </c>
      <c r="F7" s="5" t="s">
        <v>89</v>
      </c>
      <c r="G7" s="5" t="s">
        <v>31</v>
      </c>
      <c r="H7" s="5" t="s">
        <v>36</v>
      </c>
      <c r="I7" s="5">
        <v>8</v>
      </c>
      <c r="J7" s="6">
        <v>46059</v>
      </c>
      <c r="K7" s="6">
        <v>46073</v>
      </c>
      <c r="L7" s="5" t="s">
        <v>85</v>
      </c>
      <c r="M7" s="5" t="s">
        <v>99</v>
      </c>
      <c r="N7" s="6">
        <v>46045</v>
      </c>
      <c r="O7" s="6">
        <v>46045</v>
      </c>
      <c r="P7" s="5"/>
    </row>
    <row r="8" spans="1:16" ht="36" customHeight="1" x14ac:dyDescent="0.2">
      <c r="A8" s="5" t="s">
        <v>100</v>
      </c>
      <c r="B8" s="5" t="s">
        <v>53</v>
      </c>
      <c r="C8" s="5" t="s">
        <v>101</v>
      </c>
      <c r="D8" s="5" t="s">
        <v>87</v>
      </c>
      <c r="E8" s="5" t="s">
        <v>102</v>
      </c>
      <c r="F8" s="5" t="s">
        <v>103</v>
      </c>
      <c r="G8" s="5" t="s">
        <v>31</v>
      </c>
      <c r="H8" s="5" t="s">
        <v>36</v>
      </c>
      <c r="I8" s="5">
        <v>10</v>
      </c>
      <c r="J8" s="6">
        <v>46066</v>
      </c>
      <c r="K8" s="6">
        <v>46080</v>
      </c>
      <c r="L8" s="5" t="s">
        <v>85</v>
      </c>
      <c r="M8" s="5" t="s">
        <v>104</v>
      </c>
      <c r="N8" s="6">
        <v>46045</v>
      </c>
      <c r="O8" s="6">
        <v>46045</v>
      </c>
      <c r="P8" s="5"/>
    </row>
    <row r="9" spans="1:16" ht="36" customHeight="1" x14ac:dyDescent="0.2">
      <c r="A9" s="5" t="s">
        <v>105</v>
      </c>
      <c r="B9" s="5" t="s">
        <v>62</v>
      </c>
      <c r="C9" s="5" t="s">
        <v>106</v>
      </c>
      <c r="D9" s="5" t="s">
        <v>87</v>
      </c>
      <c r="E9" s="5" t="s">
        <v>107</v>
      </c>
      <c r="F9" s="5" t="s">
        <v>89</v>
      </c>
      <c r="G9" s="5" t="s">
        <v>31</v>
      </c>
      <c r="H9" s="5" t="s">
        <v>36</v>
      </c>
      <c r="I9" s="5">
        <v>6</v>
      </c>
      <c r="J9" s="6">
        <v>46066</v>
      </c>
      <c r="K9" s="6">
        <v>46077</v>
      </c>
      <c r="L9" s="5" t="s">
        <v>92</v>
      </c>
      <c r="M9" s="5" t="s">
        <v>108</v>
      </c>
      <c r="N9" s="6">
        <v>46045</v>
      </c>
      <c r="O9" s="6">
        <v>46045</v>
      </c>
      <c r="P9" s="5"/>
    </row>
    <row r="10" spans="1:16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6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</sheetData>
  <mergeCells count="2">
    <mergeCell ref="A1:P1"/>
    <mergeCell ref="A2:P2"/>
  </mergeCells>
  <dataValidations count="3">
    <dataValidation type="list" allowBlank="1" sqref="F5:F200" xr:uid="{00000000-0002-0000-0300-000000000000}">
      <formula1>"P0,P1,P2,P3"</formula1>
    </dataValidation>
    <dataValidation type="list" allowBlank="1" sqref="D5:D200" xr:uid="{00000000-0002-0000-0300-000001000000}">
      <formula1>"Epic,Story,Task,Bug,Spike"</formula1>
    </dataValidation>
    <dataValidation type="list" allowBlank="1" sqref="G5:G200" xr:uid="{00000000-0002-0000-0300-000002000000}">
      <formula1>"Backlog,Not started,In progress,Blocked,Ready for review,Done"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showGridLines="0" workbookViewId="0">
      <selection activeCell="D34" sqref="D34"/>
    </sheetView>
  </sheetViews>
  <sheetFormatPr baseColWidth="10" defaultColWidth="8.83203125" defaultRowHeight="15" x14ac:dyDescent="0.2"/>
  <cols>
    <col min="1" max="1" width="30" customWidth="1"/>
    <col min="2" max="2" width="18" customWidth="1"/>
    <col min="3" max="8" width="12" customWidth="1"/>
  </cols>
  <sheetData>
    <row r="1" spans="1:8" ht="21" x14ac:dyDescent="0.25">
      <c r="A1" s="17" t="s">
        <v>109</v>
      </c>
      <c r="B1" s="12"/>
      <c r="C1" s="12"/>
      <c r="D1" s="12"/>
      <c r="E1" s="12"/>
      <c r="F1" s="12"/>
      <c r="G1" s="12"/>
      <c r="H1" s="12"/>
    </row>
    <row r="2" spans="1:8" x14ac:dyDescent="0.2">
      <c r="A2" s="16" t="s">
        <v>110</v>
      </c>
      <c r="B2" s="12"/>
      <c r="C2" s="12"/>
      <c r="D2" s="12"/>
      <c r="E2" s="12"/>
      <c r="F2" s="12"/>
      <c r="G2" s="12"/>
      <c r="H2" s="12"/>
    </row>
    <row r="4" spans="1:8" x14ac:dyDescent="0.2">
      <c r="A4" s="9" t="s">
        <v>111</v>
      </c>
      <c r="D4" s="9" t="s">
        <v>112</v>
      </c>
    </row>
    <row r="6" spans="1:8" x14ac:dyDescent="0.2">
      <c r="A6" s="1" t="s">
        <v>25</v>
      </c>
      <c r="B6" s="1" t="s">
        <v>113</v>
      </c>
      <c r="C6" s="1"/>
      <c r="D6" s="1" t="s">
        <v>77</v>
      </c>
      <c r="E6" s="1" t="s">
        <v>113</v>
      </c>
    </row>
    <row r="7" spans="1:8" ht="16" x14ac:dyDescent="0.2">
      <c r="A7" s="5" t="s">
        <v>114</v>
      </c>
      <c r="B7" s="8">
        <f>COUNTIF('04_Tickets'!$G:$G,"Backlog")</f>
        <v>0</v>
      </c>
      <c r="D7" s="5" t="s">
        <v>115</v>
      </c>
      <c r="E7" s="8">
        <f>COUNTIF('04_Tickets'!$F:$F,"P0")</f>
        <v>0</v>
      </c>
    </row>
    <row r="8" spans="1:8" ht="16" x14ac:dyDescent="0.2">
      <c r="A8" s="5" t="s">
        <v>31</v>
      </c>
      <c r="B8" s="8">
        <f>COUNTIF('04_Tickets'!$G:$G,"Not started")</f>
        <v>4</v>
      </c>
      <c r="D8" s="5" t="s">
        <v>89</v>
      </c>
      <c r="E8" s="8">
        <f>COUNTIF('04_Tickets'!$F:$F,"P1")</f>
        <v>4</v>
      </c>
    </row>
    <row r="9" spans="1:8" ht="16" x14ac:dyDescent="0.2">
      <c r="A9" s="5" t="s">
        <v>90</v>
      </c>
      <c r="B9" s="8">
        <f>COUNTIF('04_Tickets'!$G:$G,"In progress")</f>
        <v>1</v>
      </c>
      <c r="D9" s="5" t="s">
        <v>103</v>
      </c>
      <c r="E9" s="8">
        <f>COUNTIF('04_Tickets'!$F:$F,"P2")</f>
        <v>1</v>
      </c>
    </row>
    <row r="10" spans="1:8" ht="16" x14ac:dyDescent="0.2">
      <c r="A10" s="5" t="s">
        <v>116</v>
      </c>
      <c r="B10" s="8">
        <f>COUNTIF('04_Tickets'!$G:$G,"Blocked")</f>
        <v>0</v>
      </c>
      <c r="D10" s="5" t="s">
        <v>117</v>
      </c>
      <c r="E10" s="8">
        <f>COUNTIF('04_Tickets'!$F:$F,"P3")</f>
        <v>0</v>
      </c>
    </row>
    <row r="11" spans="1:8" ht="16" x14ac:dyDescent="0.2">
      <c r="A11" s="5" t="s">
        <v>118</v>
      </c>
      <c r="B11" s="8">
        <f>COUNTIF('04_Tickets'!$G:$G,"Ready for review")</f>
        <v>0</v>
      </c>
    </row>
    <row r="12" spans="1:8" ht="16" x14ac:dyDescent="0.2">
      <c r="A12" s="5" t="s">
        <v>119</v>
      </c>
      <c r="B12" s="8">
        <f>COUNTIF('04_Tickets'!$G:$G,"Done")</f>
        <v>0</v>
      </c>
    </row>
    <row r="14" spans="1:8" x14ac:dyDescent="0.2">
      <c r="A14" s="9" t="s">
        <v>120</v>
      </c>
    </row>
    <row r="16" spans="1:8" x14ac:dyDescent="0.2">
      <c r="A16" s="1" t="s">
        <v>19</v>
      </c>
      <c r="B16" s="1" t="s">
        <v>25</v>
      </c>
      <c r="C16" s="1" t="s">
        <v>22</v>
      </c>
      <c r="D16" s="1" t="s">
        <v>23</v>
      </c>
    </row>
    <row r="17" spans="1:4" ht="16" x14ac:dyDescent="0.2">
      <c r="A17" s="5" t="str">
        <f>'02_Roadmap'!B5</f>
        <v>Foundation &amp; governance</v>
      </c>
      <c r="B17" s="5" t="str">
        <f>'02_Roadmap'!H5</f>
        <v>Not started</v>
      </c>
      <c r="C17" s="6" t="str">
        <f>'02_Roadmap'!E5</f>
        <v>Q1_2026</v>
      </c>
      <c r="D17" s="6" t="str">
        <f>'02_Roadmap'!F5</f>
        <v>Q1_2026</v>
      </c>
    </row>
    <row r="18" spans="1:4" ht="16" x14ac:dyDescent="0.2">
      <c r="A18" s="5" t="str">
        <f>'02_Roadmap'!B6</f>
        <v>Databases core</v>
      </c>
      <c r="B18" s="5" t="str">
        <f>'02_Roadmap'!H6</f>
        <v>Not started</v>
      </c>
      <c r="C18" s="6" t="str">
        <f>'02_Roadmap'!E6</f>
        <v>Q1_2026</v>
      </c>
      <c r="D18" s="6" t="str">
        <f>'02_Roadmap'!F6</f>
        <v>Q2_2026</v>
      </c>
    </row>
    <row r="19" spans="1:4" ht="16" x14ac:dyDescent="0.2">
      <c r="A19" s="5" t="str">
        <f>'02_Roadmap'!B7</f>
        <v>Feature system</v>
      </c>
      <c r="B19" s="5" t="str">
        <f>'02_Roadmap'!H7</f>
        <v>Not started</v>
      </c>
      <c r="C19" s="6" t="str">
        <f>'02_Roadmap'!E7</f>
        <v>Q1_2026</v>
      </c>
      <c r="D19" s="6" t="str">
        <f>'02_Roadmap'!F7</f>
        <v>Q2_2026</v>
      </c>
    </row>
    <row r="20" spans="1:4" ht="16" x14ac:dyDescent="0.2">
      <c r="A20" s="5" t="str">
        <f>'02_Roadmap'!B8</f>
        <v>ML &amp; MLOps</v>
      </c>
      <c r="B20" s="5" t="str">
        <f>'02_Roadmap'!H8</f>
        <v>Not started</v>
      </c>
      <c r="C20" s="6" t="str">
        <f>'02_Roadmap'!E8</f>
        <v>Q1_2026</v>
      </c>
      <c r="D20" s="6" t="str">
        <f>'02_Roadmap'!F8</f>
        <v>Q2_2026</v>
      </c>
    </row>
    <row r="21" spans="1:4" ht="16" x14ac:dyDescent="0.2">
      <c r="A21" s="5" t="str">
        <f>'02_Roadmap'!B9</f>
        <v>Trading engines</v>
      </c>
      <c r="B21" s="5" t="str">
        <f>'02_Roadmap'!H9</f>
        <v>Not started</v>
      </c>
      <c r="C21" s="6" t="str">
        <f>'02_Roadmap'!E9</f>
        <v>Q2_2026</v>
      </c>
      <c r="D21" s="6" t="str">
        <f>'02_Roadmap'!F9</f>
        <v>Q3_2026</v>
      </c>
    </row>
    <row r="22" spans="1:4" ht="16" x14ac:dyDescent="0.2">
      <c r="A22" s="5" t="str">
        <f>'02_Roadmap'!B10</f>
        <v>Pulse &amp; triggers</v>
      </c>
      <c r="B22" s="5" t="str">
        <f>'02_Roadmap'!H10</f>
        <v>Not started</v>
      </c>
      <c r="C22" s="6" t="str">
        <f>'02_Roadmap'!E10</f>
        <v>Q2_2026</v>
      </c>
      <c r="D22" s="6" t="str">
        <f>'02_Roadmap'!F10</f>
        <v>Q3_2026</v>
      </c>
    </row>
    <row r="23" spans="1:4" ht="16" x14ac:dyDescent="0.2">
      <c r="A23" s="5" t="str">
        <f>'02_Roadmap'!B11</f>
        <v>Strategy library</v>
      </c>
      <c r="B23" s="5" t="str">
        <f>'02_Roadmap'!H11</f>
        <v>Not started</v>
      </c>
      <c r="C23" s="6" t="str">
        <f>'02_Roadmap'!E11</f>
        <v>Q2_2026</v>
      </c>
      <c r="D23" s="6" t="str">
        <f>'02_Roadmap'!F11</f>
        <v>Q3_2026</v>
      </c>
    </row>
    <row r="24" spans="1:4" ht="16" x14ac:dyDescent="0.2">
      <c r="A24" s="5" t="str">
        <f>'02_Roadmap'!B12</f>
        <v>GUI Glass Cockpit</v>
      </c>
      <c r="B24" s="5" t="str">
        <f>'02_Roadmap'!H12</f>
        <v>Not started</v>
      </c>
      <c r="C24" s="6" t="str">
        <f>'02_Roadmap'!E12</f>
        <v>Q2_2026</v>
      </c>
      <c r="D24" s="6" t="str">
        <f>'02_Roadmap'!F12</f>
        <v>Q3_2026</v>
      </c>
    </row>
    <row r="25" spans="1:4" ht="16" x14ac:dyDescent="0.2">
      <c r="A25" s="5" t="str">
        <f>'02_Roadmap'!B13</f>
        <v>AWACS admin</v>
      </c>
      <c r="B25" s="5" t="str">
        <f>'02_Roadmap'!H13</f>
        <v>Not started</v>
      </c>
      <c r="C25" s="6" t="str">
        <f>'02_Roadmap'!E13</f>
        <v>Q3_2026</v>
      </c>
      <c r="D25" s="6" t="str">
        <f>'02_Roadmap'!F13</f>
        <v>Q3_2026</v>
      </c>
    </row>
    <row r="26" spans="1:4" ht="16" x14ac:dyDescent="0.2">
      <c r="A26" s="5" t="str">
        <f>'02_Roadmap'!B14</f>
        <v>BI / Reporting / Recon</v>
      </c>
      <c r="B26" s="5" t="str">
        <f>'02_Roadmap'!H14</f>
        <v>Not started</v>
      </c>
      <c r="C26" s="6" t="str">
        <f>'02_Roadmap'!E14</f>
        <v>Q3_2026</v>
      </c>
      <c r="D26" s="6" t="str">
        <f>'02_Roadmap'!F14</f>
        <v>Q4_2026</v>
      </c>
    </row>
    <row r="27" spans="1:4" ht="16" x14ac:dyDescent="0.2">
      <c r="A27" s="5" t="str">
        <f>'02_Roadmap'!B15</f>
        <v>Simulation &amp; backtesting</v>
      </c>
      <c r="B27" s="5" t="str">
        <f>'02_Roadmap'!H15</f>
        <v>Not started</v>
      </c>
      <c r="C27" s="6" t="str">
        <f>'02_Roadmap'!E15</f>
        <v>Q3_2026</v>
      </c>
      <c r="D27" s="6" t="str">
        <f>'02_Roadmap'!F15</f>
        <v>Q4_2026</v>
      </c>
    </row>
    <row r="28" spans="1:4" ht="16" x14ac:dyDescent="0.2">
      <c r="A28" s="5" t="str">
        <f>'02_Roadmap'!B16</f>
        <v>IT Infrastructure</v>
      </c>
      <c r="B28" s="5" t="str">
        <f>'02_Roadmap'!H16</f>
        <v>Not started</v>
      </c>
      <c r="C28" s="6" t="str">
        <f>'02_Roadmap'!E16</f>
        <v>Q1_2026</v>
      </c>
      <c r="D28" s="6" t="str">
        <f>'02_Roadmap'!F16</f>
        <v>Q4_2026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4"/>
  <sheetViews>
    <sheetView showGridLines="0" workbookViewId="0">
      <pane ySplit="4" topLeftCell="A5" activePane="bottomLeft" state="frozen"/>
      <selection pane="bottomLeft" activeCell="E41" sqref="E41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28" customWidth="1"/>
    <col min="4" max="4" width="32" customWidth="1"/>
    <col min="5" max="5" width="12" customWidth="1"/>
    <col min="6" max="6" width="14" customWidth="1"/>
    <col min="7" max="8" width="22" customWidth="1"/>
  </cols>
  <sheetData>
    <row r="1" spans="1:8" ht="21" x14ac:dyDescent="0.25">
      <c r="A1" s="17" t="s">
        <v>121</v>
      </c>
      <c r="B1" s="12"/>
      <c r="C1" s="12"/>
      <c r="D1" s="12"/>
      <c r="E1" s="12"/>
      <c r="F1" s="12"/>
      <c r="G1" s="12"/>
      <c r="H1" s="12"/>
    </row>
    <row r="2" spans="1:8" x14ac:dyDescent="0.2">
      <c r="A2" s="16" t="s">
        <v>122</v>
      </c>
      <c r="B2" s="12"/>
      <c r="C2" s="12"/>
      <c r="D2" s="12"/>
      <c r="E2" s="12"/>
      <c r="F2" s="12"/>
      <c r="G2" s="12"/>
      <c r="H2" s="12"/>
    </row>
    <row r="4" spans="1:8" x14ac:dyDescent="0.2">
      <c r="A4" s="1" t="s">
        <v>123</v>
      </c>
      <c r="B4" s="1" t="s">
        <v>124</v>
      </c>
      <c r="C4" s="1" t="s">
        <v>125</v>
      </c>
      <c r="D4" s="1" t="s">
        <v>126</v>
      </c>
      <c r="E4" s="1" t="s">
        <v>21</v>
      </c>
      <c r="F4" s="1" t="s">
        <v>25</v>
      </c>
      <c r="G4" s="1" t="s">
        <v>127</v>
      </c>
      <c r="H4" s="1" t="s">
        <v>128</v>
      </c>
    </row>
    <row r="5" spans="1:8" x14ac:dyDescent="0.2">
      <c r="A5" s="5"/>
      <c r="B5" s="5"/>
      <c r="C5" s="5"/>
      <c r="D5" s="5"/>
      <c r="E5" s="5"/>
      <c r="F5" s="5"/>
      <c r="G5" s="5"/>
      <c r="H5" s="5"/>
    </row>
    <row r="6" spans="1:8" x14ac:dyDescent="0.2">
      <c r="A6" s="5"/>
      <c r="B6" s="5"/>
      <c r="C6" s="5"/>
      <c r="D6" s="5"/>
      <c r="E6" s="5"/>
      <c r="F6" s="5"/>
      <c r="G6" s="5"/>
      <c r="H6" s="5"/>
    </row>
    <row r="7" spans="1:8" x14ac:dyDescent="0.2">
      <c r="A7" s="5"/>
      <c r="B7" s="5"/>
      <c r="C7" s="5"/>
      <c r="D7" s="5"/>
      <c r="E7" s="5"/>
      <c r="F7" s="5"/>
      <c r="G7" s="5"/>
      <c r="H7" s="5"/>
    </row>
    <row r="8" spans="1:8" x14ac:dyDescent="0.2">
      <c r="A8" s="5"/>
      <c r="B8" s="5"/>
      <c r="C8" s="5"/>
      <c r="D8" s="5"/>
      <c r="E8" s="5"/>
      <c r="F8" s="5"/>
      <c r="G8" s="5"/>
      <c r="H8" s="5"/>
    </row>
    <row r="9" spans="1:8" x14ac:dyDescent="0.2">
      <c r="A9" s="5"/>
      <c r="B9" s="5"/>
      <c r="C9" s="5"/>
      <c r="D9" s="5"/>
      <c r="E9" s="5"/>
      <c r="F9" s="5"/>
      <c r="G9" s="5"/>
      <c r="H9" s="5"/>
    </row>
    <row r="10" spans="1:8" x14ac:dyDescent="0.2">
      <c r="A10" s="5"/>
      <c r="B10" s="5"/>
      <c r="C10" s="5"/>
      <c r="D10" s="5"/>
      <c r="E10" s="5"/>
      <c r="F10" s="5"/>
      <c r="G10" s="5"/>
      <c r="H10" s="5"/>
    </row>
    <row r="11" spans="1:8" x14ac:dyDescent="0.2">
      <c r="A11" s="5"/>
      <c r="B11" s="5"/>
      <c r="C11" s="5"/>
      <c r="D11" s="5"/>
      <c r="E11" s="5"/>
      <c r="F11" s="5"/>
      <c r="G11" s="5"/>
      <c r="H11" s="5"/>
    </row>
    <row r="12" spans="1:8" x14ac:dyDescent="0.2">
      <c r="A12" s="5"/>
      <c r="B12" s="5"/>
      <c r="C12" s="5"/>
      <c r="D12" s="5"/>
      <c r="E12" s="5"/>
      <c r="F12" s="5"/>
      <c r="G12" s="5"/>
      <c r="H12" s="5"/>
    </row>
    <row r="13" spans="1:8" x14ac:dyDescent="0.2">
      <c r="A13" s="5"/>
      <c r="B13" s="5"/>
      <c r="C13" s="5"/>
      <c r="D13" s="5"/>
      <c r="E13" s="5"/>
      <c r="F13" s="5"/>
      <c r="G13" s="5"/>
      <c r="H13" s="5"/>
    </row>
    <row r="14" spans="1:8" x14ac:dyDescent="0.2">
      <c r="A14" s="5"/>
      <c r="B14" s="5"/>
      <c r="C14" s="5"/>
      <c r="D14" s="5"/>
      <c r="E14" s="5"/>
      <c r="F14" s="5"/>
      <c r="G14" s="5"/>
      <c r="H14" s="5"/>
    </row>
    <row r="15" spans="1:8" x14ac:dyDescent="0.2">
      <c r="A15" s="5"/>
      <c r="B15" s="5"/>
      <c r="C15" s="5"/>
      <c r="D15" s="5"/>
      <c r="E15" s="5"/>
      <c r="F15" s="5"/>
      <c r="G15" s="5"/>
      <c r="H15" s="5"/>
    </row>
    <row r="16" spans="1:8" x14ac:dyDescent="0.2">
      <c r="A16" s="5"/>
      <c r="B16" s="5"/>
      <c r="C16" s="5"/>
      <c r="D16" s="5"/>
      <c r="E16" s="5"/>
      <c r="F16" s="5"/>
      <c r="G16" s="5"/>
      <c r="H16" s="5"/>
    </row>
    <row r="17" spans="1:8" x14ac:dyDescent="0.2">
      <c r="A17" s="5"/>
      <c r="B17" s="5"/>
      <c r="C17" s="5"/>
      <c r="D17" s="5"/>
      <c r="E17" s="5"/>
      <c r="F17" s="5"/>
      <c r="G17" s="5"/>
      <c r="H17" s="5"/>
    </row>
    <row r="18" spans="1:8" x14ac:dyDescent="0.2">
      <c r="A18" s="5"/>
      <c r="B18" s="5"/>
      <c r="C18" s="5"/>
      <c r="D18" s="5"/>
      <c r="E18" s="5"/>
      <c r="F18" s="5"/>
      <c r="G18" s="5"/>
      <c r="H18" s="5"/>
    </row>
    <row r="19" spans="1:8" x14ac:dyDescent="0.2">
      <c r="A19" s="5"/>
      <c r="B19" s="5"/>
      <c r="C19" s="5"/>
      <c r="D19" s="5"/>
      <c r="E19" s="5"/>
      <c r="F19" s="5"/>
      <c r="G19" s="5"/>
      <c r="H19" s="5"/>
    </row>
    <row r="20" spans="1:8" x14ac:dyDescent="0.2">
      <c r="A20" s="5"/>
      <c r="B20" s="5"/>
      <c r="C20" s="5"/>
      <c r="D20" s="5"/>
      <c r="E20" s="5"/>
      <c r="F20" s="5"/>
      <c r="G20" s="5"/>
      <c r="H20" s="5"/>
    </row>
    <row r="21" spans="1:8" x14ac:dyDescent="0.2">
      <c r="A21" s="5"/>
      <c r="B21" s="5"/>
      <c r="C21" s="5"/>
      <c r="D21" s="5"/>
      <c r="E21" s="5"/>
      <c r="F21" s="5"/>
      <c r="G21" s="5"/>
      <c r="H21" s="5"/>
    </row>
    <row r="22" spans="1:8" x14ac:dyDescent="0.2">
      <c r="A22" s="5"/>
      <c r="B22" s="5"/>
      <c r="C22" s="5"/>
      <c r="D22" s="5"/>
      <c r="E22" s="5"/>
      <c r="F22" s="5"/>
      <c r="G22" s="5"/>
      <c r="H22" s="5"/>
    </row>
    <row r="23" spans="1:8" x14ac:dyDescent="0.2">
      <c r="A23" s="5"/>
      <c r="B23" s="5"/>
      <c r="C23" s="5"/>
      <c r="D23" s="5"/>
      <c r="E23" s="5"/>
      <c r="F23" s="5"/>
      <c r="G23" s="5"/>
      <c r="H23" s="5"/>
    </row>
    <row r="24" spans="1:8" x14ac:dyDescent="0.2">
      <c r="A24" s="5"/>
      <c r="B24" s="5"/>
      <c r="C24" s="5"/>
      <c r="D24" s="5"/>
      <c r="E24" s="5"/>
      <c r="F24" s="5"/>
      <c r="G24" s="5"/>
      <c r="H24" s="5"/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01_Project_Charter</vt:lpstr>
      <vt:lpstr>02_Roadmap</vt:lpstr>
      <vt:lpstr>03_Gantt</vt:lpstr>
      <vt:lpstr>04_Tickets</vt:lpstr>
      <vt:lpstr>05_Dashboard</vt:lpstr>
      <vt:lpstr>06_Decisions_Log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CLARKE</cp:lastModifiedBy>
  <dcterms:created xsi:type="dcterms:W3CDTF">2026-01-23T06:09:17Z</dcterms:created>
  <dcterms:modified xsi:type="dcterms:W3CDTF">2026-01-26T01:42:04Z</dcterms:modified>
</cp:coreProperties>
</file>